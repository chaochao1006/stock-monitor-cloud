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ONDS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'30日跟踪'!$A$8:$A$26</f>
            </numRef>
          </cat>
          <val>
            <numRef>
              <f>'30日跟踪'!$D$8:$D$26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26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ONDS 长期下跌风险触发后30个交易日股价跟踪</t>
        </is>
      </c>
    </row>
    <row r="2">
      <c r="A2" s="2" t="inlineStr">
        <is>
          <t>股票代码</t>
        </is>
      </c>
      <c r="B2" t="inlineStr">
        <is>
          <t>ONDS</t>
        </is>
      </c>
    </row>
    <row r="3">
      <c r="A3" s="2" t="inlineStr">
        <is>
          <t>首次触发日</t>
        </is>
      </c>
      <c r="B3" s="3" t="n">
        <v>46254</v>
      </c>
    </row>
    <row r="4">
      <c r="A4" s="2" t="inlineStr">
        <is>
          <t>触发日收盘价</t>
        </is>
      </c>
      <c r="B4" s="4" t="n">
        <v>8.380000114440918</v>
      </c>
    </row>
    <row r="5">
      <c r="A5" s="2" t="inlineStr">
        <is>
          <t>更新到交易日</t>
        </is>
      </c>
      <c r="B5" s="3" t="n">
        <v>46281</v>
      </c>
    </row>
    <row r="6">
      <c r="A6" s="2" t="inlineStr">
        <is>
          <t>已记录交易日</t>
        </is>
      </c>
      <c r="B6" t="inlineStr">
        <is>
          <t>19/30</t>
        </is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46254</v>
      </c>
      <c r="B8" s="4" t="n">
        <v>8.380000114440918</v>
      </c>
      <c r="C8" s="4" t="n">
        <v>-5.842691307611847</v>
      </c>
      <c r="D8" s="6">
        <f>B8/$B$8-1</f>
        <v/>
      </c>
      <c r="E8" t="inlineStr">
        <is>
          <t>第1/30个交易日</t>
        </is>
      </c>
    </row>
    <row r="9">
      <c r="A9" s="3" t="n">
        <v>46255</v>
      </c>
      <c r="B9" s="4" t="n">
        <v>8.710000038146973</v>
      </c>
      <c r="C9" s="4" t="n">
        <v>3.937946529826153</v>
      </c>
      <c r="D9" s="6">
        <f>B9/$B$8-1</f>
        <v/>
      </c>
      <c r="E9" t="inlineStr">
        <is>
          <t>第2/30个交易日</t>
        </is>
      </c>
    </row>
    <row r="10">
      <c r="A10" s="3" t="n">
        <v>46258</v>
      </c>
      <c r="B10" s="4" t="n">
        <v>8.239999771118164</v>
      </c>
      <c r="C10" s="4" t="n">
        <v>-5.396099483012174</v>
      </c>
      <c r="D10" s="6">
        <f>B10/$B$8-1</f>
        <v/>
      </c>
      <c r="E10" t="inlineStr">
        <is>
          <t>第3/30个交易日</t>
        </is>
      </c>
    </row>
    <row r="11">
      <c r="A11" s="3" t="n">
        <v>46259</v>
      </c>
      <c r="B11" s="4" t="n">
        <v>8.239999771118164</v>
      </c>
      <c r="C11" s="4" t="n">
        <v>0</v>
      </c>
      <c r="D11" s="6">
        <f>B11/$B$8-1</f>
        <v/>
      </c>
      <c r="E11" t="inlineStr">
        <is>
          <t>第4/30个交易日</t>
        </is>
      </c>
    </row>
    <row r="12">
      <c r="A12" s="3" t="n">
        <v>46260</v>
      </c>
      <c r="B12" s="4" t="n">
        <v>8.220000267028809</v>
      </c>
      <c r="C12" s="4" t="n">
        <v>-0.2427124350106835</v>
      </c>
      <c r="D12" s="6">
        <f>B12/$B$8-1</f>
        <v/>
      </c>
      <c r="E12" t="inlineStr">
        <is>
          <t>第5/30个交易日</t>
        </is>
      </c>
    </row>
    <row r="13">
      <c r="A13" s="3" t="n">
        <v>46261</v>
      </c>
      <c r="B13" s="4" t="n">
        <v>8.75</v>
      </c>
      <c r="C13" s="4" t="n">
        <v>6.447685106496537</v>
      </c>
      <c r="D13" s="6">
        <f>B13/$B$8-1</f>
        <v/>
      </c>
      <c r="E13" t="inlineStr">
        <is>
          <t>第6/30个交易日</t>
        </is>
      </c>
    </row>
    <row r="14">
      <c r="A14" s="3" t="n">
        <v>46262</v>
      </c>
      <c r="B14" s="4" t="n">
        <v>7.900000095367432</v>
      </c>
      <c r="C14" s="4" t="n">
        <v>-9.714284624372205</v>
      </c>
      <c r="D14" s="6">
        <f>B14/$B$8-1</f>
        <v/>
      </c>
      <c r="E14" t="inlineStr">
        <is>
          <t>第7/30个交易日</t>
        </is>
      </c>
    </row>
    <row r="15">
      <c r="A15" s="3" t="n">
        <v>46265</v>
      </c>
      <c r="B15" s="4" t="n">
        <v>7.65500020980835</v>
      </c>
      <c r="C15" s="4" t="n">
        <v>-3.101264336727672</v>
      </c>
      <c r="D15" s="6">
        <f>B15/$B$8-1</f>
        <v/>
      </c>
      <c r="E15" t="inlineStr">
        <is>
          <t>第8/30个交易日</t>
        </is>
      </c>
    </row>
    <row r="16">
      <c r="A16" s="3" t="n">
        <v>46266</v>
      </c>
      <c r="B16" s="4" t="n">
        <v>7.039999961853027</v>
      </c>
      <c r="C16" s="4" t="n">
        <v>-8.033967747869198</v>
      </c>
      <c r="D16" s="6">
        <f>B16/$B$8-1</f>
        <v/>
      </c>
      <c r="E16" t="inlineStr">
        <is>
          <t>第9/30个交易日</t>
        </is>
      </c>
    </row>
    <row r="17">
      <c r="A17" s="3" t="n">
        <v>46267</v>
      </c>
      <c r="B17" s="4" t="n">
        <v>7.610000133514404</v>
      </c>
      <c r="C17" s="4" t="n">
        <v>8.096593391334972</v>
      </c>
      <c r="D17" s="6">
        <f>B17/$B$8-1</f>
        <v/>
      </c>
      <c r="E17" t="inlineStr">
        <is>
          <t>第10/30个交易日</t>
        </is>
      </c>
    </row>
    <row r="18">
      <c r="A18" s="3" t="n">
        <v>46268</v>
      </c>
      <c r="B18" s="4" t="n">
        <v>7.630000114440918</v>
      </c>
      <c r="C18" s="4" t="n">
        <v>0.2628118341080343</v>
      </c>
      <c r="D18" s="6">
        <f>B18/$B$8-1</f>
        <v/>
      </c>
      <c r="E18" t="inlineStr">
        <is>
          <t>第11/30个交易日</t>
        </is>
      </c>
    </row>
    <row r="19">
      <c r="A19" s="3" t="n">
        <v>46269</v>
      </c>
      <c r="B19" s="4" t="n">
        <v>7.619999885559082</v>
      </c>
      <c r="C19" s="4" t="n">
        <v>-0.131064596747632</v>
      </c>
      <c r="D19" s="6">
        <f>B19/$B$8-1</f>
        <v/>
      </c>
      <c r="E19" t="inlineStr">
        <is>
          <t>第12/30个交易日</t>
        </is>
      </c>
    </row>
    <row r="20">
      <c r="A20" s="3" t="n">
        <v>46273</v>
      </c>
      <c r="B20" s="4" t="n">
        <v>7.619999885559082</v>
      </c>
      <c r="C20" s="4" t="n">
        <v>0</v>
      </c>
      <c r="D20" s="6">
        <f>B20/$B$8-1</f>
        <v/>
      </c>
      <c r="E20" t="inlineStr">
        <is>
          <t>第13/30个交易日</t>
        </is>
      </c>
    </row>
    <row r="21">
      <c r="A21" s="3" t="n">
        <v>46274</v>
      </c>
      <c r="B21" s="4" t="n">
        <v>7.289999961853027</v>
      </c>
      <c r="C21" s="4" t="n">
        <v>-4.330707725225147</v>
      </c>
      <c r="D21" s="6">
        <f>B21/$B$8-1</f>
        <v/>
      </c>
      <c r="E21" t="inlineStr">
        <is>
          <t>第14/30个交易日</t>
        </is>
      </c>
    </row>
    <row r="22">
      <c r="A22" s="3" t="n">
        <v>46275</v>
      </c>
      <c r="B22" s="4" t="n">
        <v>7.25</v>
      </c>
      <c r="C22" s="4" t="n">
        <v>-0.5486963245862619</v>
      </c>
      <c r="D22" s="6">
        <f>B22/$B$8-1</f>
        <v/>
      </c>
      <c r="E22" t="inlineStr">
        <is>
          <t>第15/30个交易日</t>
        </is>
      </c>
    </row>
    <row r="23">
      <c r="A23" s="3" t="n">
        <v>46276</v>
      </c>
      <c r="B23" s="4" t="n">
        <v>7.230000019073486</v>
      </c>
      <c r="C23" s="4" t="n">
        <v>-0.2758618058829487</v>
      </c>
      <c r="D23" s="6">
        <f>B23/$B$8-1</f>
        <v/>
      </c>
      <c r="E23" t="inlineStr">
        <is>
          <t>第16/30个交易日</t>
        </is>
      </c>
    </row>
    <row r="24">
      <c r="A24" s="3" t="n">
        <v>46279</v>
      </c>
      <c r="B24" s="4" t="n">
        <v>7.230000019073486</v>
      </c>
      <c r="C24" s="4" t="n">
        <v>0</v>
      </c>
      <c r="D24" s="6">
        <f>B24/$B$8-1</f>
        <v/>
      </c>
      <c r="E24" t="inlineStr">
        <is>
          <t>第17/30个交易日</t>
        </is>
      </c>
    </row>
    <row r="25">
      <c r="A25" s="3" t="n">
        <v>46280</v>
      </c>
      <c r="B25" s="4" t="n">
        <v>7.239999771118164</v>
      </c>
      <c r="C25" s="4" t="n">
        <v>0.1383091565462902</v>
      </c>
      <c r="D25" s="6">
        <f>B25/$B$8-1</f>
        <v/>
      </c>
      <c r="E25" t="inlineStr">
        <is>
          <t>第18/30个交易日</t>
        </is>
      </c>
    </row>
    <row r="26">
      <c r="A26" s="3" t="n">
        <v>46281</v>
      </c>
      <c r="B26" s="4" t="n">
        <v>7.199999809265137</v>
      </c>
      <c r="C26" s="4" t="n">
        <v>-0.5524856784194343</v>
      </c>
      <c r="D26" s="6">
        <f>B26/$B$8-1</f>
        <v/>
      </c>
      <c r="E26" t="inlineStr">
        <is>
          <t>第19/30个交易日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2026-09-18T01:21:50Z</dcterms:created>
  <dcterms:modified xmlns:dcterms="http://purl.org/dc/terms/" xmlns:xsi="http://www.w3.org/2001/XMLSchema-instance" xsi:type="dcterms:W3CDTF">2026-09-18T01:21:50Z</dcterms:modified>
</cp:coreProperties>
</file>