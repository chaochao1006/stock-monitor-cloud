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BWAY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'30日跟踪'!$A$8:$A$30</f>
            </numRef>
          </cat>
          <val>
            <numRef>
              <f>'30日跟踪'!$D$8:$D$30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BWAY 长期下跌风险触发后30个交易日股价跟踪</t>
        </is>
      </c>
    </row>
    <row r="2">
      <c r="A2" s="2" t="inlineStr">
        <is>
          <t>股票代码</t>
        </is>
      </c>
      <c r="B2" t="inlineStr">
        <is>
          <t>BWAY</t>
        </is>
      </c>
    </row>
    <row r="3">
      <c r="A3" s="2" t="inlineStr">
        <is>
          <t>首次触发日</t>
        </is>
      </c>
      <c r="B3" s="3" t="n">
        <v>46253</v>
      </c>
    </row>
    <row r="4">
      <c r="A4" s="2" t="inlineStr">
        <is>
          <t>触发日收盘价</t>
        </is>
      </c>
      <c r="B4" s="4" t="n">
        <v>15.17000007629395</v>
      </c>
    </row>
    <row r="5">
      <c r="A5" s="2" t="inlineStr">
        <is>
          <t>更新到交易日</t>
        </is>
      </c>
      <c r="B5" s="3" t="n">
        <v>46286</v>
      </c>
    </row>
    <row r="6">
      <c r="A6" s="2" t="inlineStr">
        <is>
          <t>已记录交易日</t>
        </is>
      </c>
      <c r="B6" t="inlineStr">
        <is>
          <t>23/30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15.17000007629395</v>
      </c>
      <c r="C8" s="4" t="n">
        <v>3.478855622033761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14.97000026702881</v>
      </c>
      <c r="C9" s="4" t="n">
        <v>-1.318390298347294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14.73999977111816</v>
      </c>
      <c r="C10" s="4" t="n">
        <v>-1.536409430915087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14.1899995803833</v>
      </c>
      <c r="C11" s="4" t="n">
        <v>-3.731344635517186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14.43000030517578</v>
      </c>
      <c r="C12" s="4" t="n">
        <v>1.691337081674504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14.30000019073486</v>
      </c>
      <c r="C13" s="4" t="n">
        <v>-0.9009016749243592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14.39999961853027</v>
      </c>
      <c r="C14" s="4" t="n">
        <v>0.6992966885427165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14.30000019073486</v>
      </c>
      <c r="C15" s="4" t="n">
        <v>-0.6944404891978451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14.52000045776367</v>
      </c>
      <c r="C16" s="4" t="n">
        <v>1.538463385275679</v>
      </c>
      <c r="D16" s="6">
        <f>B16/$B$8-1</f>
        <v/>
      </c>
      <c r="E16" t="inlineStr">
        <is>
          <t>第9/30个交易日</t>
        </is>
      </c>
    </row>
    <row r="17">
      <c r="A17" s="3" t="n">
        <v>46266</v>
      </c>
      <c r="B17" s="4" t="n">
        <v>14.27000045776367</v>
      </c>
      <c r="C17" s="4" t="n">
        <v>-1.721763031118417</v>
      </c>
      <c r="D17" s="6">
        <f>B17/$B$8-1</f>
        <v/>
      </c>
      <c r="E17" t="inlineStr">
        <is>
          <t>第10/30个交易日</t>
        </is>
      </c>
    </row>
    <row r="18">
      <c r="A18" s="3" t="n">
        <v>46267</v>
      </c>
      <c r="B18" s="4" t="n">
        <v>14.27999973297119</v>
      </c>
      <c r="C18" s="4" t="n">
        <v>0.07007200341104802</v>
      </c>
      <c r="D18" s="6">
        <f>B18/$B$8-1</f>
        <v/>
      </c>
      <c r="E18" t="inlineStr">
        <is>
          <t>第11/30个交易日</t>
        </is>
      </c>
    </row>
    <row r="19">
      <c r="A19" s="3" t="n">
        <v>46268</v>
      </c>
      <c r="B19" s="4" t="n">
        <v>14.51000022888184</v>
      </c>
      <c r="C19" s="4" t="n">
        <v>1.610647760584993</v>
      </c>
      <c r="D19" s="6">
        <f>B19/$B$8-1</f>
        <v/>
      </c>
      <c r="E19" t="inlineStr">
        <is>
          <t>第12/30个交易日</t>
        </is>
      </c>
    </row>
    <row r="20">
      <c r="A20" s="3" t="n">
        <v>46269</v>
      </c>
      <c r="B20" s="4" t="n">
        <v>14.14999961853027</v>
      </c>
      <c r="C20" s="4" t="n">
        <v>-2.481051720695282</v>
      </c>
      <c r="D20" s="6">
        <f>B20/$B$8-1</f>
        <v/>
      </c>
      <c r="E20" t="inlineStr">
        <is>
          <t>第13/30个交易日</t>
        </is>
      </c>
    </row>
    <row r="21">
      <c r="A21" s="3" t="n">
        <v>46273</v>
      </c>
      <c r="B21" s="4" t="n">
        <v>14.15999984741211</v>
      </c>
      <c r="C21" s="4" t="n">
        <v>0.07067299753662493</v>
      </c>
      <c r="D21" s="6">
        <f>B21/$B$8-1</f>
        <v/>
      </c>
      <c r="E21" t="inlineStr">
        <is>
          <t>第14/30个交易日</t>
        </is>
      </c>
    </row>
    <row r="22">
      <c r="A22" s="3" t="n">
        <v>46274</v>
      </c>
      <c r="B22" s="4" t="n">
        <v>14.40999984741211</v>
      </c>
      <c r="C22" s="4" t="n">
        <v>1.765536742189222</v>
      </c>
      <c r="D22" s="6">
        <f>B22/$B$8-1</f>
        <v/>
      </c>
      <c r="E22" t="inlineStr">
        <is>
          <t>第15/30个交易日</t>
        </is>
      </c>
    </row>
    <row r="23">
      <c r="A23" s="3" t="n">
        <v>46275</v>
      </c>
      <c r="B23" s="4" t="n">
        <v>13.90999984741211</v>
      </c>
      <c r="C23" s="4" t="n">
        <v>-3.469812666859917</v>
      </c>
      <c r="D23" s="6">
        <f>B23/$B$8-1</f>
        <v/>
      </c>
      <c r="E23" t="inlineStr">
        <is>
          <t>第16/30个交易日</t>
        </is>
      </c>
    </row>
    <row r="24">
      <c r="A24" s="3" t="n">
        <v>46276</v>
      </c>
      <c r="B24" s="4" t="n">
        <v>13.93000030517578</v>
      </c>
      <c r="C24" s="4" t="n">
        <v>0.1437847446662088</v>
      </c>
      <c r="D24" s="6">
        <f>B24/$B$8-1</f>
        <v/>
      </c>
      <c r="E24" t="inlineStr">
        <is>
          <t>第17/30个交易日</t>
        </is>
      </c>
    </row>
    <row r="25">
      <c r="A25" s="3" t="n">
        <v>46279</v>
      </c>
      <c r="B25" s="4" t="n">
        <v>13.63000011444092</v>
      </c>
      <c r="C25" s="4" t="n">
        <v>-2.153626591259994</v>
      </c>
      <c r="D25" s="6">
        <f>B25/$B$8-1</f>
        <v/>
      </c>
      <c r="E25" t="inlineStr">
        <is>
          <t>第18/30个交易日</t>
        </is>
      </c>
    </row>
    <row r="26">
      <c r="A26" s="3" t="n">
        <v>46280</v>
      </c>
      <c r="B26" s="4" t="n">
        <v>13.46000003814697</v>
      </c>
      <c r="C26" s="4" t="n">
        <v>-1.247249265345429</v>
      </c>
      <c r="D26" s="6">
        <f>B26/$B$8-1</f>
        <v/>
      </c>
      <c r="E26" t="inlineStr">
        <is>
          <t>第19/30个交易日</t>
        </is>
      </c>
    </row>
    <row r="27">
      <c r="A27" s="3" t="n">
        <v>46281</v>
      </c>
      <c r="B27" s="4" t="n">
        <v>13.46000003814697</v>
      </c>
      <c r="C27" s="4" t="n">
        <v>0</v>
      </c>
      <c r="D27" s="6">
        <f>B27/$B$8-1</f>
        <v/>
      </c>
      <c r="E27" t="inlineStr">
        <is>
          <t>第20/30个交易日</t>
        </is>
      </c>
    </row>
    <row r="28">
      <c r="A28" s="3" t="n">
        <v>46282</v>
      </c>
      <c r="B28" s="4" t="n">
        <v>13.52999973297119</v>
      </c>
      <c r="C28" s="4" t="n">
        <v>0.5200571666109433</v>
      </c>
      <c r="D28" s="6">
        <f>B28/$B$8-1</f>
        <v/>
      </c>
      <c r="E28" t="inlineStr">
        <is>
          <t>第21/30个交易日</t>
        </is>
      </c>
    </row>
    <row r="29">
      <c r="A29" s="3" t="n">
        <v>46283</v>
      </c>
      <c r="B29" s="4" t="n">
        <v>13.60999965667725</v>
      </c>
      <c r="C29" s="4" t="n">
        <v>0.5912780878413626</v>
      </c>
      <c r="D29" s="6">
        <f>B29/$B$8-1</f>
        <v/>
      </c>
      <c r="E29" t="inlineStr">
        <is>
          <t>第22/30个交易日</t>
        </is>
      </c>
    </row>
    <row r="30">
      <c r="A30" s="3" t="n">
        <v>46286</v>
      </c>
      <c r="B30" s="4" t="n">
        <v>13.56999969482422</v>
      </c>
      <c r="C30" s="4" t="n">
        <v>-0.2939012701106303</v>
      </c>
      <c r="D30" s="6">
        <f>B30/$B$8-1</f>
        <v/>
      </c>
      <c r="E30" t="inlineStr">
        <is>
          <t>第23/30个交易日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2026-09-24T01:31:03Z</dcterms:created>
  <dcterms:modified xmlns:dcterms="http://purl.org/dc/terms/" xmlns:xsi="http://www.w3.org/2001/XMLSchema-instance" xsi:type="dcterms:W3CDTF">2026-09-24T01:31:03Z</dcterms:modified>
</cp:coreProperties>
</file>