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charts/chart1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30日跟踪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1">
    <numFmt numFmtId="164" formatCode="yyyy-mm-dd"/>
  </numFmts>
  <fonts count="4">
    <font>
      <name val="Calibri"/>
      <family val="2"/>
      <color theme="1"/>
      <sz val="11"/>
      <scheme val="minor"/>
    </font>
    <font>
      <b val="1"/>
      <sz val="14"/>
    </font>
    <font>
      <b val="1"/>
    </font>
    <font>
      <b val="1"/>
      <color rgb="00FFFFFF"/>
    </font>
  </fonts>
  <fills count="3">
    <fill>
      <patternFill/>
    </fill>
    <fill>
      <patternFill patternType="gray125"/>
    </fill>
    <fill>
      <patternFill patternType="solid">
        <fgColor rgb="001F4E78"/>
      </patternFill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/>
    </xf>
    <xf numFmtId="0" fontId="2" fillId="0" borderId="0" pivotButton="0" quotePrefix="0" xfId="0"/>
    <xf numFmtId="164" fontId="0" fillId="0" borderId="0" pivotButton="0" quotePrefix="0" xfId="0"/>
    <xf numFmtId="2" fontId="0" fillId="0" borderId="0" pivotButton="0" quotePrefix="0" xfId="0"/>
    <xf numFmtId="0" fontId="3" fillId="2" borderId="0" applyAlignment="1" pivotButton="0" quotePrefix="0" xfId="0">
      <alignment horizontal="center"/>
    </xf>
    <xf numFmtId="1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charts/chart1.xml><?xml version="1.0" encoding="utf-8"?>
<chartSpace xmlns="http://schemas.openxmlformats.org/drawingml/2006/chart">
  <chart>
    <title>
      <tx>
        <rich>
          <a:bodyPr xmlns:a="http://schemas.openxmlformats.org/drawingml/2006/main"/>
          <a:p xmlns:a="http://schemas.openxmlformats.org/drawingml/2006/main">
            <a:pPr>
              <a:defRPr/>
            </a:pPr>
            <a:r>
              <a:t>INSP 相对触发日涨跌幅</a:t>
            </a:r>
          </a:p>
        </rich>
      </tx>
    </title>
    <plotArea>
      <lineChart>
        <grouping val="standard"/>
        <ser>
          <idx val="0"/>
          <order val="0"/>
          <tx>
            <strRef>
              <f>'30日跟踪'!D7</f>
            </strRef>
          </tx>
          <spPr>
            <a:ln xmlns:a="http://schemas.openxmlformats.org/drawingml/2006/main">
              <a:prstDash val="solid"/>
            </a:ln>
          </spPr>
          <marker>
            <symbol val="none"/>
            <spPr>
              <a:ln xmlns:a="http://schemas.openxmlformats.org/drawingml/2006/main">
                <a:prstDash val="solid"/>
              </a:ln>
            </spPr>
          </marker>
          <cat>
            <numRef>
              <f>'30日跟踪'!$A$8:$A$29</f>
            </numRef>
          </cat>
          <val>
            <numRef>
              <f>'30日跟踪'!$D$8:$D$29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交易日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title>
          <tx>
            <rich>
              <a:bodyPr xmlns:a="http://schemas.openxmlformats.org/drawingml/2006/main"/>
              <a:p xmlns:a="http://schemas.openxmlformats.org/drawingml/2006/main">
                <a:pPr>
                  <a:defRPr/>
                </a:pPr>
                <a:r>
                  <a:t>涨跌幅</a:t>
                </a:r>
              </a:p>
            </rich>
          </tx>
        </title>
        <numFmt formatCode="0%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/></Relationships>
</file>

<file path=xl/drawings/drawing1.xml><?xml version="1.0" encoding="utf-8"?>
<wsDr xmlns="http://schemas.openxmlformats.org/drawingml/2006/spreadsheetDrawing">
  <oneCellAnchor>
    <from>
      <col>5</col>
      <colOff>0</colOff>
      <row>1</row>
      <rowOff>0</rowOff>
    </from>
    <ext cx="6480000" cy="3600000"/>
    <graphicFrame>
      <nvGraphicFramePr>
        <cNvPr id="1" name="Chart 1"/>
        <cNvGraphicFramePr/>
      </nvGraphicFramePr>
      <xfrm/>
      <a:graphic xmlns:a="http://schemas.openxmlformats.org/drawingml/2006/main"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E29"/>
  <sheetViews>
    <sheetView workbookViewId="0">
      <pane ySplit="7" topLeftCell="A8" activePane="bottomLeft" state="frozen"/>
      <selection pane="bottomLeft" activeCell="A1" sqref="A1"/>
    </sheetView>
  </sheetViews>
  <sheetFormatPr baseColWidth="8" defaultRowHeight="15"/>
  <cols>
    <col width="14" customWidth="1" min="1" max="1"/>
    <col width="12" customWidth="1" min="2" max="2"/>
    <col width="18" customWidth="1" min="3" max="3"/>
    <col width="18" customWidth="1" min="4" max="4"/>
    <col width="12" customWidth="1" min="5" max="5"/>
    <col width="12" customWidth="1" min="6" max="6"/>
    <col width="12" customWidth="1" min="7" max="7"/>
    <col width="12" customWidth="1" min="8" max="8"/>
    <col width="12" customWidth="1" min="9" max="9"/>
    <col width="12" customWidth="1" min="10" max="10"/>
    <col width="12" customWidth="1" min="11" max="11"/>
    <col width="12" customWidth="1" min="12" max="12"/>
    <col width="12" customWidth="1" min="13" max="13"/>
    <col width="12" customWidth="1" min="14" max="14"/>
  </cols>
  <sheetData>
    <row r="1">
      <c r="A1" s="1" t="inlineStr">
        <is>
          <t>INSP 长期下跌风险触发后30个交易日股价跟踪</t>
        </is>
      </c>
    </row>
    <row r="2">
      <c r="A2" s="2" t="inlineStr">
        <is>
          <t>股票代码</t>
        </is>
      </c>
      <c r="B2" t="inlineStr">
        <is>
          <t>INSP</t>
        </is>
      </c>
    </row>
    <row r="3">
      <c r="A3" s="2" t="inlineStr">
        <is>
          <t>首次触发日</t>
        </is>
      </c>
      <c r="B3" s="3" t="n">
        <v>46295</v>
      </c>
    </row>
    <row r="4">
      <c r="A4" s="2" t="inlineStr">
        <is>
          <t>触发日收盘价</t>
        </is>
      </c>
      <c r="B4" s="4" t="n">
        <v>69.36000061035156</v>
      </c>
    </row>
    <row r="5">
      <c r="A5" s="2" t="inlineStr">
        <is>
          <t>更新到交易日</t>
        </is>
      </c>
      <c r="B5" s="3" t="n">
        <v>46324</v>
      </c>
    </row>
    <row r="6">
      <c r="A6" s="2" t="inlineStr">
        <is>
          <t>已记录交易日</t>
        </is>
      </c>
      <c r="B6" t="inlineStr">
        <is>
          <t>22/30</t>
        </is>
      </c>
    </row>
    <row r="7">
      <c r="A7" s="5" t="inlineStr">
        <is>
          <t>交易日</t>
        </is>
      </c>
      <c r="B7" s="5" t="inlineStr">
        <is>
          <t>收盘价</t>
        </is>
      </c>
      <c r="C7" s="5" t="inlineStr">
        <is>
          <t>当日涨跌幅%</t>
        </is>
      </c>
      <c r="D7" s="5" t="inlineStr">
        <is>
          <t>相对触发日涨跌幅</t>
        </is>
      </c>
      <c r="E7" s="5" t="inlineStr">
        <is>
          <t>进度</t>
        </is>
      </c>
    </row>
    <row r="8">
      <c r="A8" s="3" t="n">
        <v>46295</v>
      </c>
      <c r="B8" s="4" t="n">
        <v>69.36000061035156</v>
      </c>
      <c r="C8" s="4" t="n">
        <v>-5.22000502718506</v>
      </c>
      <c r="D8" s="6">
        <f>B8/$B$8-1</f>
        <v/>
      </c>
      <c r="E8" t="inlineStr">
        <is>
          <t>第1/30个交易日</t>
        </is>
      </c>
    </row>
    <row r="9">
      <c r="A9" s="3" t="n">
        <v>46296</v>
      </c>
      <c r="B9" s="4" t="n">
        <v>70.77999877929688</v>
      </c>
      <c r="C9" s="4" t="n">
        <v>2.047286846092367</v>
      </c>
      <c r="D9" s="6">
        <f>B9/$B$8-1</f>
        <v/>
      </c>
      <c r="E9" t="inlineStr">
        <is>
          <t>第2/30个交易日</t>
        </is>
      </c>
    </row>
    <row r="10">
      <c r="A10" s="3" t="n">
        <v>46297</v>
      </c>
      <c r="B10" s="4" t="n">
        <v>69.97000122070312</v>
      </c>
      <c r="C10" s="4" t="n">
        <v>-1.144387641372313</v>
      </c>
      <c r="D10" s="6">
        <f>B10/$B$8-1</f>
        <v/>
      </c>
      <c r="E10" t="inlineStr">
        <is>
          <t>第3/30个交易日</t>
        </is>
      </c>
    </row>
    <row r="11">
      <c r="A11" s="3" t="n">
        <v>46300</v>
      </c>
      <c r="B11" s="4" t="n">
        <v>70.75</v>
      </c>
      <c r="C11" s="4" t="n">
        <v>1.114761706001066</v>
      </c>
      <c r="D11" s="6">
        <f>B11/$B$8-1</f>
        <v/>
      </c>
      <c r="E11" t="inlineStr">
        <is>
          <t>第4/30个交易日</t>
        </is>
      </c>
    </row>
    <row r="12">
      <c r="A12" s="3" t="n">
        <v>46301</v>
      </c>
      <c r="B12" s="4" t="n">
        <v>68.19999694824219</v>
      </c>
      <c r="C12" s="4" t="n">
        <v>-3.604244596124118</v>
      </c>
      <c r="D12" s="6">
        <f>B12/$B$8-1</f>
        <v/>
      </c>
      <c r="E12" t="inlineStr">
        <is>
          <t>第5/30个交易日</t>
        </is>
      </c>
    </row>
    <row r="13">
      <c r="A13" s="3" t="n">
        <v>46302</v>
      </c>
      <c r="B13" s="4" t="n">
        <v>67.44999694824219</v>
      </c>
      <c r="C13" s="4" t="n">
        <v>-1.099706794076816</v>
      </c>
      <c r="D13" s="6">
        <f>B13/$B$8-1</f>
        <v/>
      </c>
      <c r="E13" t="inlineStr">
        <is>
          <t>第6/30个交易日</t>
        </is>
      </c>
    </row>
    <row r="14">
      <c r="A14" s="3" t="n">
        <v>46303</v>
      </c>
      <c r="B14" s="4" t="n">
        <v>66.69000244140625</v>
      </c>
      <c r="C14" s="4" t="n">
        <v>-1.126752470306436</v>
      </c>
      <c r="D14" s="6">
        <f>B14/$B$8-1</f>
        <v/>
      </c>
      <c r="E14" t="inlineStr">
        <is>
          <t>第7/30个交易日</t>
        </is>
      </c>
    </row>
    <row r="15">
      <c r="A15" s="3" t="n">
        <v>46304</v>
      </c>
      <c r="B15" s="4" t="n">
        <v>68.88999938964844</v>
      </c>
      <c r="C15" s="4" t="n">
        <v>3.29884070730857</v>
      </c>
      <c r="D15" s="6">
        <f>B15/$B$8-1</f>
        <v/>
      </c>
      <c r="E15" t="inlineStr">
        <is>
          <t>第8/30个交易日</t>
        </is>
      </c>
    </row>
    <row r="16">
      <c r="A16" s="3" t="n">
        <v>46307</v>
      </c>
      <c r="B16" s="4" t="n">
        <v>71.48999786376953</v>
      </c>
      <c r="C16" s="4" t="n">
        <v>3.774130493767691</v>
      </c>
      <c r="D16" s="6">
        <f>B16/$B$8-1</f>
        <v/>
      </c>
      <c r="E16" t="inlineStr">
        <is>
          <t>第9/30个交易日</t>
        </is>
      </c>
    </row>
    <row r="17">
      <c r="A17" s="3" t="n">
        <v>46308</v>
      </c>
      <c r="B17" s="4" t="n">
        <v>68.86000061035156</v>
      </c>
      <c r="C17" s="4" t="n">
        <v>-3.678832468885596</v>
      </c>
      <c r="D17" s="6">
        <f>B17/$B$8-1</f>
        <v/>
      </c>
      <c r="E17" t="inlineStr">
        <is>
          <t>第10/30个交易日</t>
        </is>
      </c>
    </row>
    <row r="18">
      <c r="A18" s="3" t="n">
        <v>46309</v>
      </c>
      <c r="B18" s="4" t="n">
        <v>68.06999969482422</v>
      </c>
      <c r="C18" s="4" t="n">
        <v>-1.1472566199899</v>
      </c>
      <c r="D18" s="6">
        <f>B18/$B$8-1</f>
        <v/>
      </c>
      <c r="E18" t="inlineStr">
        <is>
          <t>第11/30个交易日</t>
        </is>
      </c>
    </row>
    <row r="19">
      <c r="A19" s="3" t="n">
        <v>46310</v>
      </c>
      <c r="B19" s="4" t="n">
        <v>70.12000274658203</v>
      </c>
      <c r="C19" s="4" t="n">
        <v>3.011610196780556</v>
      </c>
      <c r="D19" s="6">
        <f>B19/$B$8-1</f>
        <v/>
      </c>
      <c r="E19" t="inlineStr">
        <is>
          <t>第12/30个交易日</t>
        </is>
      </c>
    </row>
    <row r="20">
      <c r="A20" s="3" t="n">
        <v>46311</v>
      </c>
      <c r="B20" s="4" t="n">
        <v>68.79000091552734</v>
      </c>
      <c r="C20" s="4" t="n">
        <v>-1.896750968281324</v>
      </c>
      <c r="D20" s="6">
        <f>B20/$B$8-1</f>
        <v/>
      </c>
      <c r="E20" t="inlineStr">
        <is>
          <t>第13/30个交易日</t>
        </is>
      </c>
    </row>
    <row r="21">
      <c r="A21" s="3" t="n">
        <v>46314</v>
      </c>
      <c r="B21" s="4" t="n">
        <v>70.15000152587891</v>
      </c>
      <c r="C21" s="4" t="n">
        <v>1.977032406238255</v>
      </c>
      <c r="D21" s="6">
        <f>B21/$B$8-1</f>
        <v/>
      </c>
      <c r="E21" t="inlineStr">
        <is>
          <t>第14/30个交易日</t>
        </is>
      </c>
    </row>
    <row r="22">
      <c r="A22" s="3" t="n">
        <v>46315</v>
      </c>
      <c r="B22" s="4" t="n">
        <v>71.33999633789062</v>
      </c>
      <c r="C22" s="4" t="n">
        <v>1.696357499825174</v>
      </c>
      <c r="D22" s="6">
        <f>B22/$B$8-1</f>
        <v/>
      </c>
      <c r="E22" t="inlineStr">
        <is>
          <t>第15/30个交易日</t>
        </is>
      </c>
    </row>
    <row r="23">
      <c r="A23" s="3" t="n">
        <v>46316</v>
      </c>
      <c r="B23" s="4" t="n">
        <v>71.06999969482422</v>
      </c>
      <c r="C23" s="4" t="n">
        <v>-0.3784646158202842</v>
      </c>
      <c r="D23" s="6">
        <f>B23/$B$8-1</f>
        <v/>
      </c>
      <c r="E23" t="inlineStr">
        <is>
          <t>第16/30个交易日</t>
        </is>
      </c>
    </row>
    <row r="24">
      <c r="A24" s="3" t="n">
        <v>46317</v>
      </c>
      <c r="B24" s="4" t="n">
        <v>72.66000366210938</v>
      </c>
      <c r="C24" s="4" t="n">
        <v>2.237236490942252</v>
      </c>
      <c r="D24" s="6">
        <f>B24/$B$8-1</f>
        <v/>
      </c>
      <c r="E24" t="inlineStr">
        <is>
          <t>第17/30个交易日</t>
        </is>
      </c>
    </row>
    <row r="25">
      <c r="A25" s="3" t="n">
        <v>46318</v>
      </c>
      <c r="B25" s="4" t="n">
        <v>71.11000061035156</v>
      </c>
      <c r="C25" s="4" t="n">
        <v>-2.133227324025178</v>
      </c>
      <c r="D25" s="6">
        <f>B25/$B$8-1</f>
        <v/>
      </c>
      <c r="E25" t="inlineStr">
        <is>
          <t>第18/30个交易日</t>
        </is>
      </c>
    </row>
    <row r="26">
      <c r="A26" s="3" t="n">
        <v>46321</v>
      </c>
      <c r="B26" s="4" t="n">
        <v>71.01000213623047</v>
      </c>
      <c r="C26" s="4" t="n">
        <v>-0.1406250502922091</v>
      </c>
      <c r="D26" s="6">
        <f>B26/$B$8-1</f>
        <v/>
      </c>
      <c r="E26" t="inlineStr">
        <is>
          <t>第19/30个交易日</t>
        </is>
      </c>
    </row>
    <row r="27">
      <c r="A27" s="3" t="n">
        <v>46322</v>
      </c>
      <c r="B27" s="4" t="n">
        <v>71.30000305175781</v>
      </c>
      <c r="C27" s="4" t="n">
        <v>0.4083944610661749</v>
      </c>
      <c r="D27" s="6">
        <f>B27/$B$8-1</f>
        <v/>
      </c>
      <c r="E27" t="inlineStr">
        <is>
          <t>第20/30个交易日</t>
        </is>
      </c>
    </row>
    <row r="28">
      <c r="A28" s="3" t="n">
        <v>46323</v>
      </c>
      <c r="B28" s="4" t="n">
        <v>70.97000122070312</v>
      </c>
      <c r="C28" s="4" t="n">
        <v>-0.4628356478682538</v>
      </c>
      <c r="D28" s="6">
        <f>B28/$B$8-1</f>
        <v/>
      </c>
      <c r="E28" t="inlineStr">
        <is>
          <t>第21/30个交易日</t>
        </is>
      </c>
    </row>
    <row r="29">
      <c r="A29" s="3" t="n">
        <v>46324</v>
      </c>
      <c r="B29" s="4" t="n">
        <v>71.18000030517578</v>
      </c>
      <c r="C29" s="4" t="n">
        <v>0.295898380809656</v>
      </c>
      <c r="D29" s="6">
        <f>B29/$B$8-1</f>
        <v/>
      </c>
      <c r="E29" t="inlineStr">
        <is>
          <t>第22/30个交易日</t>
        </is>
      </c>
    </row>
  </sheetData>
  <mergeCells count="1">
    <mergeCell ref="A1:D1"/>
  </mergeCells>
  <pageMargins left="0.75" right="0.75" top="1" bottom="1" header="0.5" footer="0.5"/>
  <drawing xmlns:r="http://schemas.openxmlformats.org/officeDocument/2006/relationships" r:id="rId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2026-10-30T02:42:12Z</dcterms:created>
  <dcterms:modified xmlns:dcterms="http://purl.org/dc/terms/" xmlns:xsi="http://www.w3.org/2001/XMLSchema-instance" xsi:type="dcterms:W3CDTF">2026-10-30T02:42:12Z</dcterms:modified>
</cp:coreProperties>
</file>