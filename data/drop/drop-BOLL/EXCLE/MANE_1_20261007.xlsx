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'30日跟踪'!$A$8:$A$12</f>
            </numRef>
          </cat>
          <val>
            <numRef>
              <f>'30日跟踪'!$D$8:$D$12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MANE 长期下跌风险触发后30个交易日股价跟踪</t>
        </is>
      </c>
    </row>
    <row r="2">
      <c r="A2" s="2" t="inlineStr">
        <is>
          <t>股票代码</t>
        </is>
      </c>
      <c r="B2" t="inlineStr">
        <is>
          <t>MANE</t>
        </is>
      </c>
    </row>
    <row r="3">
      <c r="A3" s="2" t="inlineStr">
        <is>
          <t>首次触发日</t>
        </is>
      </c>
      <c r="B3" s="3" t="n">
        <v>46302</v>
      </c>
    </row>
    <row r="4">
      <c r="A4" s="2" t="inlineStr">
        <is>
          <t>触发日收盘价</t>
        </is>
      </c>
      <c r="B4" s="4" t="n">
        <v>110.9499969482422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5/30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46302</v>
      </c>
      <c r="B8" s="4" t="n">
        <v>110.9499969482422</v>
      </c>
      <c r="C8" s="4" t="n">
        <v>1.82635635140449</v>
      </c>
      <c r="D8" s="6">
        <f>B8/$B$8-1</f>
        <v/>
      </c>
      <c r="E8" t="inlineStr">
        <is>
          <t>第1/30个交易日</t>
        </is>
      </c>
    </row>
    <row r="9">
      <c r="A9" s="3" t="n">
        <v>46303</v>
      </c>
      <c r="B9" s="4" t="n">
        <v>126.629997253418</v>
      </c>
      <c r="C9" s="4" t="n">
        <v>14.13249277734585</v>
      </c>
      <c r="D9" s="6">
        <f>B9/$B$8-1</f>
        <v/>
      </c>
      <c r="E9" t="inlineStr">
        <is>
          <t>第2/30个交易日</t>
        </is>
      </c>
    </row>
    <row r="10">
      <c r="A10" s="3" t="n">
        <v>46304</v>
      </c>
      <c r="B10" s="4" t="n">
        <v>130.8999938964844</v>
      </c>
      <c r="C10" s="4" t="n">
        <v>3.372026167323594</v>
      </c>
      <c r="D10" s="6">
        <f>B10/$B$8-1</f>
        <v/>
      </c>
      <c r="E10" t="inlineStr">
        <is>
          <t>第3/30个交易日</t>
        </is>
      </c>
    </row>
    <row r="11">
      <c r="A11" s="3" t="n">
        <v>46307</v>
      </c>
      <c r="B11" s="4" t="n">
        <v>122.4000015258789</v>
      </c>
      <c r="C11" s="4" t="n">
        <v>-6.493500967866551</v>
      </c>
      <c r="D11" s="6">
        <f>B11/$B$8-1</f>
        <v/>
      </c>
      <c r="E11" t="inlineStr">
        <is>
          <t>第4/30个交易日</t>
        </is>
      </c>
    </row>
    <row r="12">
      <c r="A12" s="3" t="n">
        <v>46308</v>
      </c>
      <c r="B12" s="4" t="n">
        <v>116.2600021362305</v>
      </c>
      <c r="C12" s="4" t="n">
        <v>-5.016339308092466</v>
      </c>
      <c r="D12" s="6">
        <f>B12/$B$8-1</f>
        <v/>
      </c>
      <c r="E12" t="inlineStr">
        <is>
          <t>第5/30个交易日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2026-10-14T06:30:41Z</dcterms:created>
  <dcterms:modified xmlns:dcterms="http://purl.org/dc/terms/" xmlns:xsi="http://www.w3.org/2001/XMLSchema-instance" xsi:type="dcterms:W3CDTF">2026-10-14T06:30:41Z</dcterms:modified>
</cp:coreProperties>
</file>