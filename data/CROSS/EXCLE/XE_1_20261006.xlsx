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XE_1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'30日跟踪'!$A$8:$A$16</f>
            </numRef>
          </cat>
          <val>
            <numRef>
              <f>'30日跟踪'!$D$8:$D$16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XE_1 触发后30个交易日股价跟踪</t>
        </is>
      </c>
    </row>
    <row r="2">
      <c r="A2" s="2" t="inlineStr">
        <is>
          <t>股票代码</t>
        </is>
      </c>
      <c r="B2" t="inlineStr">
        <is>
          <t>XE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46301</v>
      </c>
    </row>
    <row r="5">
      <c r="A5" s="2" t="inlineStr">
        <is>
          <t>触发日收盘价</t>
        </is>
      </c>
      <c r="B5" s="4" t="n">
        <v>15.44999980926514</v>
      </c>
    </row>
    <row r="6">
      <c r="A6" s="2" t="inlineStr">
        <is>
          <t>更新到交易日</t>
        </is>
      </c>
      <c r="B6" s="3" t="n">
        <v>46311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46301</v>
      </c>
      <c r="B8" s="4" t="n">
        <v>15.44999980926514</v>
      </c>
      <c r="C8" s="4" t="n">
        <v>7.217210082342929</v>
      </c>
      <c r="D8" s="6">
        <f>B8/$B$8-1</f>
        <v/>
      </c>
      <c r="E8" t="inlineStr">
        <is>
          <t>第1/30个交易日</t>
        </is>
      </c>
    </row>
    <row r="9">
      <c r="A9" s="3" t="n">
        <v>46302</v>
      </c>
      <c r="B9" s="4" t="n">
        <v>14.39000034332275</v>
      </c>
      <c r="C9" s="4" t="n">
        <v>-6.860838051963714</v>
      </c>
      <c r="D9" s="6">
        <f>B9/$B$8-1</f>
        <v/>
      </c>
      <c r="E9" t="inlineStr">
        <is>
          <t>第2/30个交易日</t>
        </is>
      </c>
    </row>
    <row r="10">
      <c r="A10" s="3" t="n">
        <v>46303</v>
      </c>
      <c r="B10" s="4" t="n">
        <v>13.77000045776367</v>
      </c>
      <c r="C10" s="4" t="n">
        <v>-4.308546704425719</v>
      </c>
      <c r="D10" s="6">
        <f>B10/$B$8-1</f>
        <v/>
      </c>
      <c r="E10" t="inlineStr">
        <is>
          <t>第3/30个交易日</t>
        </is>
      </c>
    </row>
    <row r="11">
      <c r="A11" s="3" t="n">
        <v>46304</v>
      </c>
      <c r="B11" s="4" t="n">
        <v>13.71000003814697</v>
      </c>
      <c r="C11" s="4" t="n">
        <v>-0.4357328803345828</v>
      </c>
      <c r="D11" s="6">
        <f>B11/$B$8-1</f>
        <v/>
      </c>
      <c r="E11" t="inlineStr">
        <is>
          <t>第4/30个交易日</t>
        </is>
      </c>
    </row>
    <row r="12">
      <c r="A12" s="3" t="n">
        <v>46307</v>
      </c>
      <c r="B12" s="4" t="n">
        <v>13.07999992370605</v>
      </c>
      <c r="C12" s="4" t="n">
        <v>-4.595186817563768</v>
      </c>
      <c r="D12" s="6">
        <f>B12/$B$8-1</f>
        <v/>
      </c>
      <c r="E12" t="inlineStr">
        <is>
          <t>第5/30个交易日</t>
        </is>
      </c>
    </row>
    <row r="13">
      <c r="A13" s="3" t="n">
        <v>46308</v>
      </c>
      <c r="B13" s="4" t="n">
        <v>12.72000026702881</v>
      </c>
      <c r="C13" s="4" t="n">
        <v>-2.752290969243709</v>
      </c>
      <c r="D13" s="6">
        <f>B13/$B$8-1</f>
        <v/>
      </c>
      <c r="E13" t="inlineStr">
        <is>
          <t>第6/30个交易日</t>
        </is>
      </c>
    </row>
    <row r="14">
      <c r="A14" s="3" t="n">
        <v>46309</v>
      </c>
      <c r="B14" s="4" t="n">
        <v>11.64000034332275</v>
      </c>
      <c r="C14" s="4" t="n">
        <v>-8.490565259699679</v>
      </c>
      <c r="D14" s="6">
        <f>B14/$B$8-1</f>
        <v/>
      </c>
      <c r="E14" t="inlineStr">
        <is>
          <t>第7/30个交易日</t>
        </is>
      </c>
    </row>
    <row r="15">
      <c r="A15" s="3" t="n">
        <v>46310</v>
      </c>
      <c r="B15" s="4" t="n">
        <v>11.44999980926514</v>
      </c>
      <c r="C15" s="4" t="n">
        <v>-1.632306945477113</v>
      </c>
      <c r="D15" s="6">
        <f>B15/$B$8-1</f>
        <v/>
      </c>
      <c r="E15" t="inlineStr">
        <is>
          <t>第8/30个交易日</t>
        </is>
      </c>
    </row>
    <row r="16">
      <c r="A16" s="3" t="n">
        <v>46311</v>
      </c>
      <c r="B16" s="4" t="n">
        <v>10.35999965667725</v>
      </c>
      <c r="C16" s="4" t="n">
        <v>-9.519652146246171</v>
      </c>
      <c r="D16" s="6">
        <f>B16/$B$8-1</f>
        <v/>
      </c>
      <c r="E16" t="inlineStr">
        <is>
          <t>第9/30个交易日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2026-10-19T01:22:58Z</dcterms:created>
  <dcterms:modified xmlns:dcterms="http://purl.org/dc/terms/" xmlns:xsi="http://www.w3.org/2001/XMLSchema-instance" xsi:type="dcterms:W3CDTF">2026-10-19T01:22:58Z</dcterms:modified>
</cp:coreProperties>
</file>