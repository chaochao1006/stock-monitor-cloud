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OPTX_1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'30日跟踪'!$A$8:$A$22</f>
            </numRef>
          </cat>
          <val>
            <numRef>
              <f>'30日跟踪'!$D$8:$D$22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OPTX_1 触发后30个交易日股价跟踪</t>
        </is>
      </c>
    </row>
    <row r="2">
      <c r="A2" s="2" t="inlineStr">
        <is>
          <t>股票代码</t>
        </is>
      </c>
      <c r="B2" t="inlineStr">
        <is>
          <t>OPTX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46295</v>
      </c>
    </row>
    <row r="5">
      <c r="A5" s="2" t="inlineStr">
        <is>
          <t>触发日收盘价</t>
        </is>
      </c>
      <c r="B5" s="4" t="n">
        <v>8.25</v>
      </c>
    </row>
    <row r="6">
      <c r="A6" s="2" t="inlineStr">
        <is>
          <t>更新到交易日</t>
        </is>
      </c>
      <c r="B6" s="3" t="n">
        <v>46315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46295</v>
      </c>
      <c r="B8" s="4" t="n">
        <v>8.25</v>
      </c>
      <c r="C8" s="4" t="n">
        <v>11.33603468131319</v>
      </c>
      <c r="D8" s="6">
        <f>B8/$B$8-1</f>
        <v/>
      </c>
      <c r="E8" t="inlineStr">
        <is>
          <t>第1/30个交易日</t>
        </is>
      </c>
    </row>
    <row r="9">
      <c r="A9" s="3" t="n">
        <v>46296</v>
      </c>
      <c r="B9" s="4" t="n">
        <v>8.109999656677246</v>
      </c>
      <c r="C9" s="4" t="n">
        <v>-1.696973858457618</v>
      </c>
      <c r="D9" s="6">
        <f>B9/$B$8-1</f>
        <v/>
      </c>
      <c r="E9" t="inlineStr">
        <is>
          <t>第2/30个交易日</t>
        </is>
      </c>
    </row>
    <row r="10">
      <c r="A10" s="3" t="n">
        <v>46297</v>
      </c>
      <c r="B10" s="4" t="n">
        <v>9.140000343322754</v>
      </c>
      <c r="C10" s="4" t="n">
        <v>12.70037891798765</v>
      </c>
      <c r="D10" s="6">
        <f>B10/$B$8-1</f>
        <v/>
      </c>
      <c r="E10" t="inlineStr">
        <is>
          <t>第3/30个交易日</t>
        </is>
      </c>
    </row>
    <row r="11">
      <c r="A11" s="3" t="n">
        <v>46300</v>
      </c>
      <c r="B11" s="4" t="n">
        <v>9.800000190734863</v>
      </c>
      <c r="C11" s="4" t="n">
        <v>7.221004623859484</v>
      </c>
      <c r="D11" s="6">
        <f>B11/$B$8-1</f>
        <v/>
      </c>
      <c r="E11" t="inlineStr">
        <is>
          <t>第4/30个交易日</t>
        </is>
      </c>
    </row>
    <row r="12">
      <c r="A12" s="3" t="n">
        <v>46301</v>
      </c>
      <c r="B12" s="4" t="n">
        <v>9.819999694824219</v>
      </c>
      <c r="C12" s="4" t="n">
        <v>0.204076568368472</v>
      </c>
      <c r="D12" s="6">
        <f>B12/$B$8-1</f>
        <v/>
      </c>
      <c r="E12" t="inlineStr">
        <is>
          <t>第5/30个交易日</t>
        </is>
      </c>
    </row>
    <row r="13">
      <c r="A13" s="3" t="n">
        <v>46302</v>
      </c>
      <c r="B13" s="4" t="n">
        <v>8.890000343322754</v>
      </c>
      <c r="C13" s="4" t="n">
        <v>-9.47046212223036</v>
      </c>
      <c r="D13" s="6">
        <f>B13/$B$8-1</f>
        <v/>
      </c>
      <c r="E13" t="inlineStr">
        <is>
          <t>第6/30个交易日</t>
        </is>
      </c>
    </row>
    <row r="14">
      <c r="A14" s="3" t="n">
        <v>46303</v>
      </c>
      <c r="B14" s="4" t="n">
        <v>8.260000228881836</v>
      </c>
      <c r="C14" s="4" t="n">
        <v>-7.086615186849898</v>
      </c>
      <c r="D14" s="6">
        <f>B14/$B$8-1</f>
        <v/>
      </c>
      <c r="E14" t="inlineStr">
        <is>
          <t>第7/30个交易日</t>
        </is>
      </c>
    </row>
    <row r="15">
      <c r="A15" s="3" t="n">
        <v>46304</v>
      </c>
      <c r="B15" s="4" t="n">
        <v>8.090000152587891</v>
      </c>
      <c r="C15" s="4" t="n">
        <v>-2.058112246771193</v>
      </c>
      <c r="D15" s="6">
        <f>B15/$B$8-1</f>
        <v/>
      </c>
      <c r="E15" t="inlineStr">
        <is>
          <t>第8/30个交易日</t>
        </is>
      </c>
    </row>
    <row r="16">
      <c r="A16" s="3" t="n">
        <v>46307</v>
      </c>
      <c r="B16" s="4" t="n">
        <v>7.849999904632568</v>
      </c>
      <c r="C16" s="4" t="n">
        <v>-2.966628472541488</v>
      </c>
      <c r="D16" s="6">
        <f>B16/$B$8-1</f>
        <v/>
      </c>
      <c r="E16" t="inlineStr">
        <is>
          <t>第9/30个交易日</t>
        </is>
      </c>
    </row>
    <row r="17">
      <c r="A17" s="3" t="n">
        <v>46308</v>
      </c>
      <c r="B17" s="4" t="n">
        <v>7.659999847412109</v>
      </c>
      <c r="C17" s="4" t="n">
        <v>-2.420382923932685</v>
      </c>
      <c r="D17" s="6">
        <f>B17/$B$8-1</f>
        <v/>
      </c>
      <c r="E17" t="inlineStr">
        <is>
          <t>第10/30个交易日</t>
        </is>
      </c>
    </row>
    <row r="18">
      <c r="A18" s="3" t="n">
        <v>46309</v>
      </c>
      <c r="B18" s="4" t="n">
        <v>6.909999847412109</v>
      </c>
      <c r="C18" s="4" t="n">
        <v>-9.791122910444749</v>
      </c>
      <c r="D18" s="6">
        <f>B18/$B$8-1</f>
        <v/>
      </c>
      <c r="E18" t="inlineStr">
        <is>
          <t>第11/30个交易日</t>
        </is>
      </c>
    </row>
    <row r="19">
      <c r="A19" s="3" t="n">
        <v>46310</v>
      </c>
      <c r="B19" s="4" t="n">
        <v>6.929999828338623</v>
      </c>
      <c r="C19" s="4" t="n">
        <v>0.2894353309429443</v>
      </c>
      <c r="D19" s="6">
        <f>B19/$B$8-1</f>
        <v/>
      </c>
      <c r="E19" t="inlineStr">
        <is>
          <t>第12/30个交易日</t>
        </is>
      </c>
    </row>
    <row r="20">
      <c r="A20" s="3" t="n">
        <v>46311</v>
      </c>
      <c r="B20" s="4" t="n">
        <v>6.519999980926514</v>
      </c>
      <c r="C20" s="4" t="n">
        <v>-5.916303861011807</v>
      </c>
      <c r="D20" s="6">
        <f>B20/$B$8-1</f>
        <v/>
      </c>
      <c r="E20" t="inlineStr">
        <is>
          <t>第13/30个交易日</t>
        </is>
      </c>
    </row>
    <row r="21">
      <c r="A21" s="3" t="n">
        <v>46314</v>
      </c>
      <c r="B21" s="4" t="n">
        <v>6.639999866485596</v>
      </c>
      <c r="C21" s="4" t="n">
        <v>1.840489047701332</v>
      </c>
      <c r="D21" s="6">
        <f>B21/$B$8-1</f>
        <v/>
      </c>
      <c r="E21" t="inlineStr">
        <is>
          <t>第14/30个交易日</t>
        </is>
      </c>
    </row>
    <row r="22">
      <c r="A22" s="3" t="n">
        <v>46315</v>
      </c>
      <c r="B22" s="4" t="n">
        <v>7.059999942779541</v>
      </c>
      <c r="C22" s="4" t="n">
        <v>6.325302481011064</v>
      </c>
      <c r="D22" s="6">
        <f>B22/$B$8-1</f>
        <v/>
      </c>
      <c r="E22" t="inlineStr">
        <is>
          <t>第15/30个交易日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2026-10-21T01:42:02Z</dcterms:created>
  <dcterms:modified xmlns:dcterms="http://purl.org/dc/terms/" xmlns:xsi="http://www.w3.org/2001/XMLSchema-instance" xsi:type="dcterms:W3CDTF">2026-10-21T01:42:02Z</dcterms:modified>
</cp:coreProperties>
</file>