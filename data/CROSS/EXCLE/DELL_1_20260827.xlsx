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DELL_1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'30日跟踪'!$A$8:$A$24</f>
            </numRef>
          </cat>
          <val>
            <numRef>
              <f>'30日跟踪'!$D$8:$D$24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DELL_1 触发后30个交易日股价跟踪</t>
        </is>
      </c>
    </row>
    <row r="2">
      <c r="A2" s="2" t="inlineStr">
        <is>
          <t>股票代码</t>
        </is>
      </c>
      <c r="B2" t="inlineStr">
        <is>
          <t>DELL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46261</v>
      </c>
    </row>
    <row r="5">
      <c r="A5" s="2" t="inlineStr">
        <is>
          <t>触发日收盘价</t>
        </is>
      </c>
      <c r="B5" s="4" t="n">
        <v>472.260009765625</v>
      </c>
    </row>
    <row r="6">
      <c r="A6" s="2" t="inlineStr">
        <is>
          <t>更新到交易日</t>
        </is>
      </c>
      <c r="B6" s="3" t="n">
        <v>46287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46261</v>
      </c>
      <c r="B8" s="4" t="n">
        <v>472.260009765625</v>
      </c>
      <c r="C8" s="4" t="n">
        <v>1.819671921894161</v>
      </c>
      <c r="D8" s="6">
        <f>B8/$B$8-1</f>
        <v/>
      </c>
      <c r="E8" t="inlineStr">
        <is>
          <t>第1/30个交易日</t>
        </is>
      </c>
    </row>
    <row r="9">
      <c r="A9" s="3" t="n">
        <v>46262</v>
      </c>
      <c r="B9" s="4" t="n">
        <v>456.239990234375</v>
      </c>
      <c r="C9" s="4" t="n">
        <v>-3.392203277851213</v>
      </c>
      <c r="D9" s="6">
        <f>B9/$B$8-1</f>
        <v/>
      </c>
      <c r="E9" t="inlineStr">
        <is>
          <t>第2/30个交易日</t>
        </is>
      </c>
    </row>
    <row r="10">
      <c r="A10" s="3" t="n">
        <v>46265</v>
      </c>
      <c r="B10" s="4" t="n">
        <v>456.010009765625</v>
      </c>
      <c r="C10" s="4" t="n">
        <v>-0.05040778398927026</v>
      </c>
      <c r="D10" s="6">
        <f>B10/$B$8-1</f>
        <v/>
      </c>
      <c r="E10" t="inlineStr">
        <is>
          <t>第3/30个交易日</t>
        </is>
      </c>
    </row>
    <row r="11">
      <c r="A11" s="3" t="n">
        <v>46266</v>
      </c>
      <c r="B11" s="4" t="n">
        <v>425</v>
      </c>
      <c r="C11" s="4" t="n">
        <v>-6.800291463242925</v>
      </c>
      <c r="D11" s="6">
        <f>B11/$B$8-1</f>
        <v/>
      </c>
      <c r="E11" t="inlineStr">
        <is>
          <t>第4/30个交易日</t>
        </is>
      </c>
    </row>
    <row r="12">
      <c r="A12" s="3" t="n">
        <v>46267</v>
      </c>
      <c r="B12" s="4" t="n">
        <v>492.2000122070312</v>
      </c>
      <c r="C12" s="4" t="n">
        <v>15.81176757812499</v>
      </c>
      <c r="D12" s="6">
        <f>B12/$B$8-1</f>
        <v/>
      </c>
      <c r="E12" t="inlineStr">
        <is>
          <t>第5/30个交易日</t>
        </is>
      </c>
    </row>
    <row r="13">
      <c r="A13" s="3" t="n">
        <v>46268</v>
      </c>
      <c r="B13" s="4" t="n">
        <v>516.3900146484375</v>
      </c>
      <c r="C13" s="4" t="n">
        <v>4.914669207938038</v>
      </c>
      <c r="D13" s="6">
        <f>B13/$B$8-1</f>
        <v/>
      </c>
      <c r="E13" t="inlineStr">
        <is>
          <t>第6/30个交易日</t>
        </is>
      </c>
    </row>
    <row r="14">
      <c r="A14" s="3" t="n">
        <v>46269</v>
      </c>
      <c r="B14" s="4" t="n">
        <v>524.1400146484375</v>
      </c>
      <c r="C14" s="4" t="n">
        <v>1.50080361357805</v>
      </c>
      <c r="D14" s="6">
        <f>B14/$B$8-1</f>
        <v/>
      </c>
      <c r="E14" t="inlineStr">
        <is>
          <t>第7/30个交易日</t>
        </is>
      </c>
    </row>
    <row r="15">
      <c r="A15" s="3" t="n">
        <v>46273</v>
      </c>
      <c r="B15" s="4" t="n">
        <v>533.8800048828125</v>
      </c>
      <c r="C15" s="4" t="n">
        <v>1.858280223254472</v>
      </c>
      <c r="D15" s="6">
        <f>B15/$B$8-1</f>
        <v/>
      </c>
      <c r="E15" t="inlineStr">
        <is>
          <t>第8/30个交易日</t>
        </is>
      </c>
    </row>
    <row r="16">
      <c r="A16" s="3" t="n">
        <v>46274</v>
      </c>
      <c r="B16" s="4" t="n">
        <v>535.25</v>
      </c>
      <c r="C16" s="4" t="n">
        <v>0.2566110557911339</v>
      </c>
      <c r="D16" s="6">
        <f>B16/$B$8-1</f>
        <v/>
      </c>
      <c r="E16" t="inlineStr">
        <is>
          <t>第9/30个交易日</t>
        </is>
      </c>
    </row>
    <row r="17">
      <c r="A17" s="3" t="n">
        <v>46275</v>
      </c>
      <c r="B17" s="4" t="n">
        <v>506.6199951171875</v>
      </c>
      <c r="C17" s="4" t="n">
        <v>-5.3489032943134</v>
      </c>
      <c r="D17" s="6">
        <f>B17/$B$8-1</f>
        <v/>
      </c>
      <c r="E17" t="inlineStr">
        <is>
          <t>第10/30个交易日</t>
        </is>
      </c>
    </row>
    <row r="18">
      <c r="A18" s="3" t="n">
        <v>46276</v>
      </c>
      <c r="B18" s="4" t="n">
        <v>567.2899780273438</v>
      </c>
      <c r="C18" s="4" t="n">
        <v>11.97544184889949</v>
      </c>
      <c r="D18" s="6">
        <f>B18/$B$8-1</f>
        <v/>
      </c>
      <c r="E18" t="inlineStr">
        <is>
          <t>第11/30个交易日</t>
        </is>
      </c>
    </row>
    <row r="19">
      <c r="A19" s="3" t="n">
        <v>46279</v>
      </c>
      <c r="B19" s="4" t="n">
        <v>534.280029296875</v>
      </c>
      <c r="C19" s="4" t="n">
        <v>-5.818884522736568</v>
      </c>
      <c r="D19" s="6">
        <f>B19/$B$8-1</f>
        <v/>
      </c>
      <c r="E19" t="inlineStr">
        <is>
          <t>第12/30个交易日</t>
        </is>
      </c>
    </row>
    <row r="20">
      <c r="A20" s="3" t="n">
        <v>46280</v>
      </c>
      <c r="B20" s="4" t="n">
        <v>543.510009765625</v>
      </c>
      <c r="C20" s="4" t="n">
        <v>1.727554833164335</v>
      </c>
      <c r="D20" s="6">
        <f>B20/$B$8-1</f>
        <v/>
      </c>
      <c r="E20" t="inlineStr">
        <is>
          <t>第13/30个交易日</t>
        </is>
      </c>
    </row>
    <row r="21">
      <c r="A21" s="3" t="n">
        <v>46281</v>
      </c>
      <c r="B21" s="4" t="n">
        <v>563.2899780273438</v>
      </c>
      <c r="C21" s="4" t="n">
        <v>3.639301559551478</v>
      </c>
      <c r="D21" s="6">
        <f>B21/$B$8-1</f>
        <v/>
      </c>
      <c r="E21" t="inlineStr">
        <is>
          <t>第14/30个交易日</t>
        </is>
      </c>
    </row>
    <row r="22">
      <c r="A22" s="3" t="n">
        <v>46282</v>
      </c>
      <c r="B22" s="4" t="n">
        <v>588.4000244140625</v>
      </c>
      <c r="C22" s="4" t="n">
        <v>4.457747761580055</v>
      </c>
      <c r="D22" s="6">
        <f>B22/$B$8-1</f>
        <v/>
      </c>
      <c r="E22" t="inlineStr">
        <is>
          <t>第15/30个交易日</t>
        </is>
      </c>
    </row>
    <row r="23">
      <c r="A23" s="3" t="n">
        <v>46283</v>
      </c>
      <c r="B23" s="4" t="n">
        <v>568.0599975585938</v>
      </c>
      <c r="C23" s="4" t="n">
        <v>-3.456836507735306</v>
      </c>
      <c r="D23" s="6">
        <f>B23/$B$8-1</f>
        <v/>
      </c>
      <c r="E23" t="inlineStr">
        <is>
          <t>第16/30个交易日</t>
        </is>
      </c>
    </row>
    <row r="24">
      <c r="A24" s="3" t="n">
        <v>46286</v>
      </c>
      <c r="B24" s="4" t="n">
        <v>575.3099975585938</v>
      </c>
      <c r="C24" s="4" t="n">
        <v>1.276273638552095</v>
      </c>
      <c r="D24" s="6">
        <f>B24/$B$8-1</f>
        <v/>
      </c>
      <c r="E24" t="inlineStr">
        <is>
          <t>第17/30个交易日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2026-09-23T09:56:08Z</dcterms:created>
  <dcterms:modified xmlns:dcterms="http://purl.org/dc/terms/" xmlns:xsi="http://www.w3.org/2001/XMLSchema-instance" xsi:type="dcterms:W3CDTF">2026-09-23T09:56:08Z</dcterms:modified>
</cp:coreProperties>
</file>