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FLY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'30日跟踪'!$A$8:$A$31</f>
            </numRef>
          </cat>
          <val>
            <numRef>
              <f>'30日跟踪'!$D$8:$D$31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FLY 触发后30个交易日股价跟踪</t>
        </is>
      </c>
    </row>
    <row r="2">
      <c r="A2" s="2" t="inlineStr">
        <is>
          <t>股票代码</t>
        </is>
      </c>
      <c r="B2" t="inlineStr">
        <is>
          <t>FLY</t>
        </is>
      </c>
    </row>
    <row r="3">
      <c r="A3" s="2" t="inlineStr">
        <is>
          <t>首次触发日</t>
        </is>
      </c>
      <c r="B3" s="3" t="n">
        <v>46283</v>
      </c>
    </row>
    <row r="4">
      <c r="A4" s="2" t="inlineStr">
        <is>
          <t>触发日收盘价</t>
        </is>
      </c>
      <c r="B4" s="4" t="n">
        <v>20.96999931335449</v>
      </c>
    </row>
    <row r="5">
      <c r="A5" s="2" t="inlineStr">
        <is>
          <t>更新到交易日</t>
        </is>
      </c>
      <c r="B5" s="3" t="n">
        <v>46316</v>
      </c>
    </row>
    <row r="6">
      <c r="A6" s="2" t="inlineStr">
        <is>
          <t>已记录交易日</t>
        </is>
      </c>
      <c r="B6" t="inlineStr">
        <is>
          <t>24/30</t>
        </is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46283</v>
      </c>
      <c r="B8" s="4" t="n">
        <v>20.96999931335449</v>
      </c>
      <c r="C8" s="4" t="n">
        <v>-3.453038783195839</v>
      </c>
      <c r="D8" s="6">
        <f>B8/$B$8-1</f>
        <v/>
      </c>
      <c r="E8" t="inlineStr">
        <is>
          <t>第1/30个交易日</t>
        </is>
      </c>
    </row>
    <row r="9">
      <c r="A9" s="3" t="n">
        <v>46286</v>
      </c>
      <c r="B9" s="4" t="n">
        <v>22.82500076293945</v>
      </c>
      <c r="C9" s="4" t="n">
        <v>8.845977636268332</v>
      </c>
      <c r="D9" s="6">
        <f>B9/$B$8-1</f>
        <v/>
      </c>
      <c r="E9" t="inlineStr">
        <is>
          <t>第2/30个交易日</t>
        </is>
      </c>
    </row>
    <row r="10">
      <c r="A10" s="3" t="n">
        <v>46287</v>
      </c>
      <c r="B10" s="4" t="n">
        <v>23.34499931335449</v>
      </c>
      <c r="C10" s="4" t="n">
        <v>2.278197296971629</v>
      </c>
      <c r="D10" s="6">
        <f>B10/$B$8-1</f>
        <v/>
      </c>
      <c r="E10" t="inlineStr">
        <is>
          <t>第3/30个交易日</t>
        </is>
      </c>
    </row>
    <row r="11">
      <c r="A11" s="3" t="n">
        <v>46288</v>
      </c>
      <c r="B11" s="4" t="n">
        <v>21.89999961853027</v>
      </c>
      <c r="C11" s="4" t="n">
        <v>-6.189761136542882</v>
      </c>
      <c r="D11" s="6">
        <f>B11/$B$8-1</f>
        <v/>
      </c>
      <c r="E11" t="inlineStr">
        <is>
          <t>第4/30个交易日</t>
        </is>
      </c>
    </row>
    <row r="12">
      <c r="A12" s="3" t="n">
        <v>46289</v>
      </c>
      <c r="B12" s="4" t="n">
        <v>23.09000015258789</v>
      </c>
      <c r="C12" s="4" t="n">
        <v>5.433792487606803</v>
      </c>
      <c r="D12" s="6">
        <f>B12/$B$8-1</f>
        <v/>
      </c>
      <c r="E12" t="inlineStr">
        <is>
          <t>第5/30个交易日</t>
        </is>
      </c>
    </row>
    <row r="13">
      <c r="A13" s="3" t="n">
        <v>46290</v>
      </c>
      <c r="B13" s="4" t="n">
        <v>24.36000061035156</v>
      </c>
      <c r="C13" s="4" t="n">
        <v>5.500218490129938</v>
      </c>
      <c r="D13" s="6">
        <f>B13/$B$8-1</f>
        <v/>
      </c>
      <c r="E13" t="inlineStr">
        <is>
          <t>第6/30个交易日</t>
        </is>
      </c>
    </row>
    <row r="14">
      <c r="A14" s="3" t="n">
        <v>46293</v>
      </c>
      <c r="B14" s="4" t="n">
        <v>24.11000061035156</v>
      </c>
      <c r="C14" s="4" t="n">
        <v>-1.026272552282959</v>
      </c>
      <c r="D14" s="6">
        <f>B14/$B$8-1</f>
        <v/>
      </c>
      <c r="E14" t="inlineStr">
        <is>
          <t>第7/30个交易日</t>
        </is>
      </c>
    </row>
    <row r="15">
      <c r="A15" s="3" t="n">
        <v>46294</v>
      </c>
      <c r="B15" s="4" t="n">
        <v>22.86000061035156</v>
      </c>
      <c r="C15" s="4" t="n">
        <v>-5.184570586295701</v>
      </c>
      <c r="D15" s="6">
        <f>B15/$B$8-1</f>
        <v/>
      </c>
      <c r="E15" t="inlineStr">
        <is>
          <t>第8/30个交易日</t>
        </is>
      </c>
    </row>
    <row r="16">
      <c r="A16" s="3" t="n">
        <v>46295</v>
      </c>
      <c r="B16" s="4" t="n">
        <v>23.14999961853027</v>
      </c>
      <c r="C16" s="4" t="n">
        <v>1.268587053525239</v>
      </c>
      <c r="D16" s="6">
        <f>B16/$B$8-1</f>
        <v/>
      </c>
      <c r="E16" t="inlineStr">
        <is>
          <t>第9/30个交易日</t>
        </is>
      </c>
    </row>
    <row r="17">
      <c r="A17" s="3" t="n">
        <v>46296</v>
      </c>
      <c r="B17" s="4" t="n">
        <v>22.85000038146973</v>
      </c>
      <c r="C17" s="4" t="n">
        <v>-1.295893054012898</v>
      </c>
      <c r="D17" s="6">
        <f>B17/$B$8-1</f>
        <v/>
      </c>
      <c r="E17" t="inlineStr">
        <is>
          <t>第10/30个交易日</t>
        </is>
      </c>
    </row>
    <row r="18">
      <c r="A18" s="3" t="n">
        <v>46297</v>
      </c>
      <c r="B18" s="4" t="n">
        <v>23.31999969482422</v>
      </c>
      <c r="C18" s="4" t="n">
        <v>2.056889739641488</v>
      </c>
      <c r="D18" s="6">
        <f>B18/$B$8-1</f>
        <v/>
      </c>
      <c r="E18" t="inlineStr">
        <is>
          <t>第11/30个交易日</t>
        </is>
      </c>
    </row>
    <row r="19">
      <c r="A19" s="3" t="n">
        <v>46300</v>
      </c>
      <c r="B19" s="4" t="n">
        <v>22.59000015258789</v>
      </c>
      <c r="C19" s="4" t="n">
        <v>-3.130358283831147</v>
      </c>
      <c r="D19" s="6">
        <f>B19/$B$8-1</f>
        <v/>
      </c>
      <c r="E19" t="inlineStr">
        <is>
          <t>第12/30个交易日</t>
        </is>
      </c>
    </row>
    <row r="20">
      <c r="A20" s="3" t="n">
        <v>46301</v>
      </c>
      <c r="B20" s="4" t="n">
        <v>22.82999992370605</v>
      </c>
      <c r="C20" s="4" t="n">
        <v>1.062415978295905</v>
      </c>
      <c r="D20" s="6">
        <f>B20/$B$8-1</f>
        <v/>
      </c>
      <c r="E20" t="inlineStr">
        <is>
          <t>第13/30个交易日</t>
        </is>
      </c>
    </row>
    <row r="21">
      <c r="A21" s="3" t="n">
        <v>46302</v>
      </c>
      <c r="B21" s="4" t="n">
        <v>21.51000022888184</v>
      </c>
      <c r="C21" s="4" t="n">
        <v>-5.781864648425017</v>
      </c>
      <c r="D21" s="6">
        <f>B21/$B$8-1</f>
        <v/>
      </c>
      <c r="E21" t="inlineStr">
        <is>
          <t>第14/30个交易日</t>
        </is>
      </c>
    </row>
    <row r="22">
      <c r="A22" s="3" t="n">
        <v>46303</v>
      </c>
      <c r="B22" s="4" t="n">
        <v>20.67000007629395</v>
      </c>
      <c r="C22" s="4" t="n">
        <v>-3.905161058343498</v>
      </c>
      <c r="D22" s="6">
        <f>B22/$B$8-1</f>
        <v/>
      </c>
      <c r="E22" t="inlineStr">
        <is>
          <t>第15/30个交易日</t>
        </is>
      </c>
    </row>
    <row r="23">
      <c r="A23" s="3" t="n">
        <v>46304</v>
      </c>
      <c r="B23" s="4" t="n">
        <v>20</v>
      </c>
      <c r="C23" s="4" t="n">
        <v>-3.24141303251545</v>
      </c>
      <c r="D23" s="6">
        <f>B23/$B$8-1</f>
        <v/>
      </c>
      <c r="E23" t="inlineStr">
        <is>
          <t>第16/30个交易日</t>
        </is>
      </c>
    </row>
    <row r="24">
      <c r="A24" s="3" t="n">
        <v>46307</v>
      </c>
      <c r="B24" s="4" t="n">
        <v>19.3700008392334</v>
      </c>
      <c r="C24" s="4" t="n">
        <v>-3.149995803833006</v>
      </c>
      <c r="D24" s="6">
        <f>B24/$B$8-1</f>
        <v/>
      </c>
      <c r="E24" t="inlineStr">
        <is>
          <t>第17/30个交易日</t>
        </is>
      </c>
    </row>
    <row r="25">
      <c r="A25" s="3" t="n">
        <v>46308</v>
      </c>
      <c r="B25" s="4" t="n">
        <v>18.34000015258789</v>
      </c>
      <c r="C25" s="4" t="n">
        <v>-5.317504605158662</v>
      </c>
      <c r="D25" s="6">
        <f>B25/$B$8-1</f>
        <v/>
      </c>
      <c r="E25" t="inlineStr">
        <is>
          <t>第18/30个交易日</t>
        </is>
      </c>
    </row>
    <row r="26">
      <c r="A26" s="3" t="n">
        <v>46309</v>
      </c>
      <c r="B26" s="4" t="n">
        <v>17.02000045776367</v>
      </c>
      <c r="C26" s="4" t="n">
        <v>-7.197381046029916</v>
      </c>
      <c r="D26" s="6">
        <f>B26/$B$8-1</f>
        <v/>
      </c>
      <c r="E26" t="inlineStr">
        <is>
          <t>第19/30个交易日</t>
        </is>
      </c>
    </row>
    <row r="27">
      <c r="A27" s="3" t="n">
        <v>46310</v>
      </c>
      <c r="B27" s="4" t="n">
        <v>17.82999992370605</v>
      </c>
      <c r="C27" s="4" t="n">
        <v>4.759103667197029</v>
      </c>
      <c r="D27" s="6">
        <f>B27/$B$8-1</f>
        <v/>
      </c>
      <c r="E27" t="inlineStr">
        <is>
          <t>第20/30个交易日</t>
        </is>
      </c>
    </row>
    <row r="28">
      <c r="A28" s="3" t="n">
        <v>46311</v>
      </c>
      <c r="B28" s="4" t="n">
        <v>16.75</v>
      </c>
      <c r="C28" s="4" t="n">
        <v>-6.057206552593031</v>
      </c>
      <c r="D28" s="6">
        <f>B28/$B$8-1</f>
        <v/>
      </c>
      <c r="E28" t="inlineStr">
        <is>
          <t>第21/30个交易日</t>
        </is>
      </c>
    </row>
    <row r="29">
      <c r="A29" s="3" t="n">
        <v>46314</v>
      </c>
      <c r="B29" s="4" t="n">
        <v>16.63999938964844</v>
      </c>
      <c r="C29" s="4" t="n">
        <v>-0.6567200618003755</v>
      </c>
      <c r="D29" s="6">
        <f>B29/$B$8-1</f>
        <v/>
      </c>
      <c r="E29" t="inlineStr">
        <is>
          <t>第22/30个交易日</t>
        </is>
      </c>
    </row>
    <row r="30">
      <c r="A30" s="3" t="n">
        <v>46315</v>
      </c>
      <c r="B30" s="4" t="n">
        <v>16.30999946594238</v>
      </c>
      <c r="C30" s="4" t="n">
        <v>-1.983172691168156</v>
      </c>
      <c r="D30" s="6">
        <f>B30/$B$8-1</f>
        <v/>
      </c>
      <c r="E30" t="inlineStr">
        <is>
          <t>第23/30个交易日</t>
        </is>
      </c>
    </row>
    <row r="31">
      <c r="A31" s="3" t="n">
        <v>46316</v>
      </c>
      <c r="B31" s="4" t="n">
        <v>17.65500068664551</v>
      </c>
      <c r="C31" s="4" t="n">
        <v>8.246482309896329</v>
      </c>
      <c r="D31" s="6">
        <f>B31/$B$8-1</f>
        <v/>
      </c>
      <c r="E31" t="inlineStr">
        <is>
          <t>第24/30个交易日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2026-10-22T01:36:04Z</dcterms:created>
  <dcterms:modified xmlns:dcterms="http://purl.org/dc/terms/" xmlns:xsi="http://www.w3.org/2001/XMLSchema-instance" xsi:type="dcterms:W3CDTF">2026-10-22T01:36:04Z</dcterms:modified>
</cp:coreProperties>
</file>