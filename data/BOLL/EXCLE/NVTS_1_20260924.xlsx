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NVTS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'30日跟踪'!$A$8:$A$20</f>
            </numRef>
          </cat>
          <val>
            <numRef>
              <f>'30日跟踪'!$D$8:$D$20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NVTS 触发后30个交易日股价跟踪</t>
        </is>
      </c>
    </row>
    <row r="2">
      <c r="A2" s="2" t="inlineStr">
        <is>
          <t>股票代码</t>
        </is>
      </c>
      <c r="B2" t="inlineStr">
        <is>
          <t>NVTS</t>
        </is>
      </c>
    </row>
    <row r="3">
      <c r="A3" s="2" t="inlineStr">
        <is>
          <t>首次触发日</t>
        </is>
      </c>
      <c r="B3" s="3" t="n">
        <v>46289</v>
      </c>
    </row>
    <row r="4">
      <c r="A4" s="2" t="inlineStr">
        <is>
          <t>触发日收盘价</t>
        </is>
      </c>
      <c r="B4" s="4" t="n">
        <v>11.84000015258789</v>
      </c>
    </row>
    <row r="5">
      <c r="A5" s="2" t="inlineStr">
        <is>
          <t>更新到交易日</t>
        </is>
      </c>
      <c r="B5" s="3" t="n">
        <v>46307</v>
      </c>
    </row>
    <row r="6">
      <c r="A6" s="2" t="inlineStr">
        <is>
          <t>已记录交易日</t>
        </is>
      </c>
      <c r="B6" t="inlineStr">
        <is>
          <t>13/30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46289</v>
      </c>
      <c r="B8" s="4" t="n">
        <v>11.84000015258789</v>
      </c>
      <c r="C8" s="4" t="n">
        <v>0</v>
      </c>
      <c r="D8" s="6">
        <f>B8/$B$8-1</f>
        <v/>
      </c>
      <c r="E8" t="inlineStr">
        <is>
          <t>第1/30个交易日</t>
        </is>
      </c>
    </row>
    <row r="9">
      <c r="A9" s="3" t="n">
        <v>46290</v>
      </c>
      <c r="B9" s="4" t="n">
        <v>12.19999980926514</v>
      </c>
      <c r="C9" s="4" t="n">
        <v>3.040537601670223</v>
      </c>
      <c r="D9" s="6">
        <f>B9/$B$8-1</f>
        <v/>
      </c>
      <c r="E9" t="inlineStr">
        <is>
          <t>第2/30个交易日</t>
        </is>
      </c>
    </row>
    <row r="10">
      <c r="A10" s="3" t="n">
        <v>46293</v>
      </c>
      <c r="B10" s="4" t="n">
        <v>11.72999954223633</v>
      </c>
      <c r="C10" s="4" t="n">
        <v>-3.852461265383567</v>
      </c>
      <c r="D10" s="6">
        <f>B10/$B$8-1</f>
        <v/>
      </c>
      <c r="E10" t="inlineStr">
        <is>
          <t>第3/30个交易日</t>
        </is>
      </c>
    </row>
    <row r="11">
      <c r="A11" s="3" t="n">
        <v>46294</v>
      </c>
      <c r="B11" s="4" t="n">
        <v>11.72999954223633</v>
      </c>
      <c r="C11" s="4" t="n">
        <v>0</v>
      </c>
      <c r="D11" s="6">
        <f>B11/$B$8-1</f>
        <v/>
      </c>
      <c r="E11" t="inlineStr">
        <is>
          <t>第4/30个交易日</t>
        </is>
      </c>
    </row>
    <row r="12">
      <c r="A12" s="3" t="n">
        <v>46295</v>
      </c>
      <c r="B12" s="4" t="n">
        <v>11.60999965667725</v>
      </c>
      <c r="C12" s="4" t="n">
        <v>-1.023016967110679</v>
      </c>
      <c r="D12" s="6">
        <f>B12/$B$8-1</f>
        <v/>
      </c>
      <c r="E12" t="inlineStr">
        <is>
          <t>第5/30个交易日</t>
        </is>
      </c>
    </row>
    <row r="13">
      <c r="A13" s="3" t="n">
        <v>46296</v>
      </c>
      <c r="B13" s="4" t="n">
        <v>12.11999988555908</v>
      </c>
      <c r="C13" s="4" t="n">
        <v>4.392766959200722</v>
      </c>
      <c r="D13" s="6">
        <f>B13/$B$8-1</f>
        <v/>
      </c>
      <c r="E13" t="inlineStr">
        <is>
          <t>第6/30个交易日</t>
        </is>
      </c>
    </row>
    <row r="14">
      <c r="A14" s="3" t="n">
        <v>46297</v>
      </c>
      <c r="B14" s="4" t="n">
        <v>12.39999961853027</v>
      </c>
      <c r="C14" s="4" t="n">
        <v>2.31022884170824</v>
      </c>
      <c r="D14" s="6">
        <f>B14/$B$8-1</f>
        <v/>
      </c>
      <c r="E14" t="inlineStr">
        <is>
          <t>第7/30个交易日</t>
        </is>
      </c>
    </row>
    <row r="15">
      <c r="A15" s="3" t="n">
        <v>46300</v>
      </c>
      <c r="B15" s="4" t="n">
        <v>12.34000015258789</v>
      </c>
      <c r="C15" s="4" t="n">
        <v>-0.4838666757111865</v>
      </c>
      <c r="D15" s="6">
        <f>B15/$B$8-1</f>
        <v/>
      </c>
      <c r="E15" t="inlineStr">
        <is>
          <t>第8/30个交易日</t>
        </is>
      </c>
    </row>
    <row r="16">
      <c r="A16" s="3" t="n">
        <v>46301</v>
      </c>
      <c r="B16" s="4" t="n">
        <v>11.97000026702881</v>
      </c>
      <c r="C16" s="4" t="n">
        <v>-2.998378289983139</v>
      </c>
      <c r="D16" s="6">
        <f>B16/$B$8-1</f>
        <v/>
      </c>
      <c r="E16" t="inlineStr">
        <is>
          <t>第9/30个交易日</t>
        </is>
      </c>
    </row>
    <row r="17">
      <c r="A17" s="3" t="n">
        <v>46302</v>
      </c>
      <c r="B17" s="4" t="n">
        <v>11.30000019073486</v>
      </c>
      <c r="C17" s="4" t="n">
        <v>-5.597327162468413</v>
      </c>
      <c r="D17" s="6">
        <f>B17/$B$8-1</f>
        <v/>
      </c>
      <c r="E17" t="inlineStr">
        <is>
          <t>第10/30个交易日</t>
        </is>
      </c>
    </row>
    <row r="18">
      <c r="A18" s="3" t="n">
        <v>46303</v>
      </c>
      <c r="B18" s="4" t="n">
        <v>10.93000030517578</v>
      </c>
      <c r="C18" s="4" t="n">
        <v>-3.274335215166224</v>
      </c>
      <c r="D18" s="6">
        <f>B18/$B$8-1</f>
        <v/>
      </c>
      <c r="E18" t="inlineStr">
        <is>
          <t>第11/30个交易日</t>
        </is>
      </c>
    </row>
    <row r="19">
      <c r="A19" s="3" t="n">
        <v>46304</v>
      </c>
      <c r="B19" s="4" t="n">
        <v>10.77999973297119</v>
      </c>
      <c r="C19" s="4" t="n">
        <v>-1.372374821742306</v>
      </c>
      <c r="D19" s="6">
        <f>B19/$B$8-1</f>
        <v/>
      </c>
      <c r="E19" t="inlineStr">
        <is>
          <t>第12/30个交易日</t>
        </is>
      </c>
    </row>
    <row r="20">
      <c r="A20" s="3" t="n">
        <v>46307</v>
      </c>
      <c r="B20" s="4" t="n">
        <v>9.989999771118164</v>
      </c>
      <c r="C20" s="4" t="n">
        <v>-7.328385727476149</v>
      </c>
      <c r="D20" s="6">
        <f>B20/$B$8-1</f>
        <v/>
      </c>
      <c r="E20" t="inlineStr">
        <is>
          <t>第13/30个交易日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2026-10-13T03:31:06Z</dcterms:created>
  <dcterms:modified xmlns:dcterms="http://purl.org/dc/terms/" xmlns:xsi="http://www.w3.org/2001/XMLSchema-instance" xsi:type="dcterms:W3CDTF">2026-10-13T03:31:06Z</dcterms:modified>
</cp:coreProperties>
</file>