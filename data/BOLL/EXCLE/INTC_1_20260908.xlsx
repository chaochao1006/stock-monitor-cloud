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30日跟踪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"/>
  </numFmts>
  <fonts count="4">
    <font>
      <name val="Calibri"/>
      <family val="2"/>
      <color theme="1"/>
      <sz val="11"/>
      <scheme val="minor"/>
    </font>
    <font>
      <b val="1"/>
      <sz val="14"/>
    </font>
    <font>
      <b val="1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0" borderId="0" applyAlignment="1" pivotButton="0" quotePrefix="0" xfId="0">
      <alignment horizontal="center"/>
    </xf>
    <xf numFmtId="0" fontId="2" fillId="0" borderId="0" pivotButton="0" quotePrefix="0" xfId="0"/>
    <xf numFmtId="164" fontId="0" fillId="0" borderId="0" pivotButton="0" quotePrefix="0" xfId="0"/>
    <xf numFmtId="2" fontId="0" fillId="0" borderId="0" pivotButton="0" quotePrefix="0" xfId="0"/>
    <xf numFmtId="0" fontId="3" fillId="2" borderId="0" applyAlignment="1" pivotButton="0" quotePrefix="0" xfId="0">
      <alignment horizontal="center"/>
    </xf>
    <xf numFmtId="1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INTC 相对触发日涨跌幅</a:t>
            </a:r>
          </a:p>
        </rich>
      </tx>
    </title>
    <plotArea>
      <lineChart>
        <grouping val="standard"/>
        <ser>
          <idx val="0"/>
          <order val="0"/>
          <tx>
            <strRef>
              <f>'30日跟踪'!D7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'30日跟踪'!$A$8:$A$37</f>
            </numRef>
          </cat>
          <val>
            <numRef>
              <f>'30日跟踪'!$D$8:$D$37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交易日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涨跌幅</a:t>
                </a:r>
              </a:p>
            </rich>
          </tx>
        </title>
        <numFmt formatCode="0%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5</col>
      <colOff>0</colOff>
      <row>1</row>
      <rowOff>0</rowOff>
    </from>
    <ext cx="648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37"/>
  <sheetViews>
    <sheetView workbookViewId="0">
      <pane ySplit="7" topLeftCell="A8" activePane="bottomLeft" state="frozen"/>
      <selection pane="bottomLeft" activeCell="A1" sqref="A1"/>
    </sheetView>
  </sheetViews>
  <sheetFormatPr baseColWidth="8" defaultRowHeight="15"/>
  <cols>
    <col width="14" customWidth="1" min="1" max="1"/>
    <col width="12" customWidth="1" min="2" max="2"/>
    <col width="18" customWidth="1" min="3" max="3"/>
    <col width="18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</cols>
  <sheetData>
    <row r="1">
      <c r="A1" s="1" t="inlineStr">
        <is>
          <t>INTC 触发后30个交易日股价跟踪</t>
        </is>
      </c>
    </row>
    <row r="2">
      <c r="A2" s="2" t="inlineStr">
        <is>
          <t>股票代码</t>
        </is>
      </c>
      <c r="B2" t="inlineStr">
        <is>
          <t>INTC</t>
        </is>
      </c>
    </row>
    <row r="3">
      <c r="A3" s="2" t="inlineStr">
        <is>
          <t>首次触发日</t>
        </is>
      </c>
      <c r="B3" s="3" t="n">
        <v>46273</v>
      </c>
    </row>
    <row r="4">
      <c r="A4" s="2" t="inlineStr">
        <is>
          <t>触发日收盘价</t>
        </is>
      </c>
      <c r="B4" s="4" t="n">
        <v>104.4700012207031</v>
      </c>
    </row>
    <row r="5">
      <c r="A5" s="2" t="inlineStr">
        <is>
          <t>更新到交易日</t>
        </is>
      </c>
      <c r="B5" s="3" t="n">
        <v>46314</v>
      </c>
    </row>
    <row r="6">
      <c r="A6" s="2" t="inlineStr">
        <is>
          <t>已记录交易日</t>
        </is>
      </c>
      <c r="B6" t="inlineStr">
        <is>
          <t>30/30</t>
        </is>
      </c>
    </row>
    <row r="7">
      <c r="A7" s="5" t="inlineStr">
        <is>
          <t>交易日</t>
        </is>
      </c>
      <c r="B7" s="5" t="inlineStr">
        <is>
          <t>收盘价</t>
        </is>
      </c>
      <c r="C7" s="5" t="inlineStr">
        <is>
          <t>当日涨跌幅%</t>
        </is>
      </c>
      <c r="D7" s="5" t="inlineStr">
        <is>
          <t>相对触发日涨跌幅</t>
        </is>
      </c>
      <c r="E7" s="5" t="inlineStr">
        <is>
          <t>进度</t>
        </is>
      </c>
    </row>
    <row r="8">
      <c r="A8" s="3" t="n">
        <v>46273</v>
      </c>
      <c r="B8" s="4" t="n">
        <v>104.4700012207031</v>
      </c>
      <c r="C8" s="4" t="n">
        <v>9.050102184507413</v>
      </c>
      <c r="D8" s="6">
        <f>B8/$B$8-1</f>
        <v/>
      </c>
      <c r="E8" t="inlineStr">
        <is>
          <t>第1/30个交易日</t>
        </is>
      </c>
    </row>
    <row r="9">
      <c r="A9" s="3" t="n">
        <v>46274</v>
      </c>
      <c r="B9" s="4" t="n">
        <v>106.2399978637695</v>
      </c>
      <c r="C9" s="4" t="n">
        <v>1.694263063448354</v>
      </c>
      <c r="D9" s="6">
        <f>B9/$B$8-1</f>
        <v/>
      </c>
      <c r="E9" t="inlineStr">
        <is>
          <t>第2/30个交易日</t>
        </is>
      </c>
    </row>
    <row r="10">
      <c r="A10" s="3" t="n">
        <v>46275</v>
      </c>
      <c r="B10" s="4" t="n">
        <v>100.3199996948242</v>
      </c>
      <c r="C10" s="4" t="n">
        <v>-5.57228754516399</v>
      </c>
      <c r="D10" s="6">
        <f>B10/$B$8-1</f>
        <v/>
      </c>
      <c r="E10" t="inlineStr">
        <is>
          <t>第3/30个交易日</t>
        </is>
      </c>
    </row>
    <row r="11">
      <c r="A11" s="3" t="n">
        <v>46276</v>
      </c>
      <c r="B11" s="4" t="n">
        <v>102.9400024414062</v>
      </c>
      <c r="C11" s="4" t="n">
        <v>2.61164548898738</v>
      </c>
      <c r="D11" s="6">
        <f>B11/$B$8-1</f>
        <v/>
      </c>
      <c r="E11" t="inlineStr">
        <is>
          <t>第4/30个交易日</t>
        </is>
      </c>
    </row>
    <row r="12">
      <c r="A12" s="3" t="n">
        <v>46279</v>
      </c>
      <c r="B12" s="4" t="n">
        <v>97.19000244140625</v>
      </c>
      <c r="C12" s="4" t="n">
        <v>-5.585777990701835</v>
      </c>
      <c r="D12" s="6">
        <f>B12/$B$8-1</f>
        <v/>
      </c>
      <c r="E12" t="inlineStr">
        <is>
          <t>第5/30个交易日</t>
        </is>
      </c>
    </row>
    <row r="13">
      <c r="A13" s="3" t="n">
        <v>46280</v>
      </c>
      <c r="B13" s="4" t="n">
        <v>97.13999938964844</v>
      </c>
      <c r="C13" s="4" t="n">
        <v>-0.0514487606767533</v>
      </c>
      <c r="D13" s="6">
        <f>B13/$B$8-1</f>
        <v/>
      </c>
      <c r="E13" t="inlineStr">
        <is>
          <t>第6/30个交易日</t>
        </is>
      </c>
    </row>
    <row r="14">
      <c r="A14" s="3" t="n">
        <v>46281</v>
      </c>
      <c r="B14" s="4" t="n">
        <v>101.0500030517578</v>
      </c>
      <c r="C14" s="4" t="n">
        <v>4.025122181054952</v>
      </c>
      <c r="D14" s="6">
        <f>B14/$B$8-1</f>
        <v/>
      </c>
      <c r="E14" t="inlineStr">
        <is>
          <t>第7/30个交易日</t>
        </is>
      </c>
    </row>
    <row r="15">
      <c r="A15" s="3" t="n">
        <v>46282</v>
      </c>
      <c r="B15" s="4" t="n">
        <v>108.8000030517578</v>
      </c>
      <c r="C15" s="4" t="n">
        <v>7.66947032750751</v>
      </c>
      <c r="D15" s="6">
        <f>B15/$B$8-1</f>
        <v/>
      </c>
      <c r="E15" t="inlineStr">
        <is>
          <t>第8/30个交易日</t>
        </is>
      </c>
    </row>
    <row r="16">
      <c r="A16" s="3" t="n">
        <v>46283</v>
      </c>
      <c r="B16" s="4" t="n">
        <v>108.5999984741211</v>
      </c>
      <c r="C16" s="4" t="n">
        <v>-0.1838277316422277</v>
      </c>
      <c r="D16" s="6">
        <f>B16/$B$8-1</f>
        <v/>
      </c>
      <c r="E16" t="inlineStr">
        <is>
          <t>第9/30个交易日</t>
        </is>
      </c>
    </row>
    <row r="17">
      <c r="A17" s="3" t="n">
        <v>46286</v>
      </c>
      <c r="B17" s="4" t="n">
        <v>121.7799987792969</v>
      </c>
      <c r="C17" s="4" t="n">
        <v>12.13628037786438</v>
      </c>
      <c r="D17" s="6">
        <f>B17/$B$8-1</f>
        <v/>
      </c>
      <c r="E17" t="inlineStr">
        <is>
          <t>第10/30个交易日</t>
        </is>
      </c>
    </row>
    <row r="18">
      <c r="A18" s="3" t="n">
        <v>46287</v>
      </c>
      <c r="B18" s="4" t="n">
        <v>123.8600006103516</v>
      </c>
      <c r="C18" s="4" t="n">
        <v>1.707999549929617</v>
      </c>
      <c r="D18" s="6">
        <f>B18/$B$8-1</f>
        <v/>
      </c>
      <c r="E18" t="inlineStr">
        <is>
          <t>第11/30个交易日</t>
        </is>
      </c>
    </row>
    <row r="19">
      <c r="A19" s="3" t="n">
        <v>46288</v>
      </c>
      <c r="B19" s="4" t="n">
        <v>122.5999984741211</v>
      </c>
      <c r="C19" s="4" t="n">
        <v>-1.017279291152506</v>
      </c>
      <c r="D19" s="6">
        <f>B19/$B$8-1</f>
        <v/>
      </c>
      <c r="E19" t="inlineStr">
        <is>
          <t>第12/30个交易日</t>
        </is>
      </c>
    </row>
    <row r="20">
      <c r="A20" s="3" t="n">
        <v>46289</v>
      </c>
      <c r="B20" s="4" t="n">
        <v>127.3899993896484</v>
      </c>
      <c r="C20" s="4" t="n">
        <v>3.907015477278675</v>
      </c>
      <c r="D20" s="6">
        <f>B20/$B$8-1</f>
        <v/>
      </c>
      <c r="E20" t="inlineStr">
        <is>
          <t>第13/30个交易日</t>
        </is>
      </c>
    </row>
    <row r="21">
      <c r="A21" s="3" t="n">
        <v>46290</v>
      </c>
      <c r="B21" s="4" t="n">
        <v>123</v>
      </c>
      <c r="C21" s="4" t="n">
        <v>-3.446109907121297</v>
      </c>
      <c r="D21" s="6">
        <f>B21/$B$8-1</f>
        <v/>
      </c>
      <c r="E21" t="inlineStr">
        <is>
          <t>第14/30个交易日</t>
        </is>
      </c>
    </row>
    <row r="22">
      <c r="A22" s="3" t="n">
        <v>46293</v>
      </c>
      <c r="B22" s="4" t="n">
        <v>116.0299987792969</v>
      </c>
      <c r="C22" s="4" t="n">
        <v>-5.666667659108226</v>
      </c>
      <c r="D22" s="6">
        <f>B22/$B$8-1</f>
        <v/>
      </c>
      <c r="E22" t="inlineStr">
        <is>
          <t>第15/30个交易日</t>
        </is>
      </c>
    </row>
    <row r="23">
      <c r="A23" s="3" t="n">
        <v>46294</v>
      </c>
      <c r="B23" s="4" t="n">
        <v>115.9300003051758</v>
      </c>
      <c r="C23" s="4" t="n">
        <v>-0.08618329326306462</v>
      </c>
      <c r="D23" s="6">
        <f>B23/$B$8-1</f>
        <v/>
      </c>
      <c r="E23" t="inlineStr">
        <is>
          <t>第16/30个交易日</t>
        </is>
      </c>
    </row>
    <row r="24">
      <c r="A24" s="3" t="n">
        <v>46295</v>
      </c>
      <c r="B24" s="4" t="n">
        <v>120.2300033569336</v>
      </c>
      <c r="C24" s="4" t="n">
        <v>3.7091374453881</v>
      </c>
      <c r="D24" s="6">
        <f>B24/$B$8-1</f>
        <v/>
      </c>
      <c r="E24" t="inlineStr">
        <is>
          <t>第17/30个交易日</t>
        </is>
      </c>
    </row>
    <row r="25">
      <c r="A25" s="3" t="n">
        <v>46296</v>
      </c>
      <c r="B25" s="4" t="n">
        <v>120</v>
      </c>
      <c r="C25" s="4" t="n">
        <v>-0.1913027950691926</v>
      </c>
      <c r="D25" s="6">
        <f>B25/$B$8-1</f>
        <v/>
      </c>
      <c r="E25" t="inlineStr">
        <is>
          <t>第18/30个交易日</t>
        </is>
      </c>
    </row>
    <row r="26">
      <c r="A26" s="3" t="n">
        <v>46297</v>
      </c>
      <c r="B26" s="4" t="n">
        <v>119.3300018310547</v>
      </c>
      <c r="C26" s="4" t="n">
        <v>-0.5583318074544263</v>
      </c>
      <c r="D26" s="6">
        <f>B26/$B$8-1</f>
        <v/>
      </c>
      <c r="E26" t="inlineStr">
        <is>
          <t>第19/30个交易日</t>
        </is>
      </c>
    </row>
    <row r="27">
      <c r="A27" s="3" t="n">
        <v>46300</v>
      </c>
      <c r="B27" s="4" t="n">
        <v>116.1900024414062</v>
      </c>
      <c r="C27" s="4" t="n">
        <v>-2.631357865974049</v>
      </c>
      <c r="D27" s="6">
        <f>B27/$B$8-1</f>
        <v/>
      </c>
      <c r="E27" t="inlineStr">
        <is>
          <t>第20/30个交易日</t>
        </is>
      </c>
    </row>
    <row r="28">
      <c r="A28" s="3" t="n">
        <v>46301</v>
      </c>
      <c r="B28" s="4" t="n">
        <v>112.5</v>
      </c>
      <c r="C28" s="4" t="n">
        <v>-3.175834722326554</v>
      </c>
      <c r="D28" s="6">
        <f>B28/$B$8-1</f>
        <v/>
      </c>
      <c r="E28" t="inlineStr">
        <is>
          <t>第21/30个交易日</t>
        </is>
      </c>
    </row>
    <row r="29">
      <c r="A29" s="3" t="n">
        <v>46302</v>
      </c>
      <c r="B29" s="4" t="n">
        <v>113.120002746582</v>
      </c>
      <c r="C29" s="4" t="n">
        <v>0.5511135525173572</v>
      </c>
      <c r="D29" s="6">
        <f>B29/$B$8-1</f>
        <v/>
      </c>
      <c r="E29" t="inlineStr">
        <is>
          <t>第22/30个交易日</t>
        </is>
      </c>
    </row>
    <row r="30">
      <c r="A30" s="3" t="n">
        <v>46303</v>
      </c>
      <c r="B30" s="4" t="n">
        <v>107.0800018310547</v>
      </c>
      <c r="C30" s="4" t="n">
        <v>-5.339463197378547</v>
      </c>
      <c r="D30" s="6">
        <f>B30/$B$8-1</f>
        <v/>
      </c>
      <c r="E30" t="inlineStr">
        <is>
          <t>第23/30个交易日</t>
        </is>
      </c>
    </row>
    <row r="31">
      <c r="A31" s="3" t="n">
        <v>46304</v>
      </c>
      <c r="B31" s="4" t="n">
        <v>104.6999969482422</v>
      </c>
      <c r="C31" s="4" t="n">
        <v>-2.22264180249786</v>
      </c>
      <c r="D31" s="6">
        <f>B31/$B$8-1</f>
        <v/>
      </c>
      <c r="E31" t="inlineStr">
        <is>
          <t>第24/30个交易日</t>
        </is>
      </c>
    </row>
    <row r="32">
      <c r="A32" s="3" t="n">
        <v>46307</v>
      </c>
      <c r="B32" s="4" t="n">
        <v>101.3499984741211</v>
      </c>
      <c r="C32" s="4" t="n">
        <v>-3.199616591944265</v>
      </c>
      <c r="D32" s="6">
        <f>B32/$B$8-1</f>
        <v/>
      </c>
      <c r="E32" t="inlineStr">
        <is>
          <t>第25/30个交易日</t>
        </is>
      </c>
    </row>
    <row r="33">
      <c r="A33" s="3" t="n">
        <v>46308</v>
      </c>
      <c r="B33" s="4" t="n">
        <v>102.8099975585938</v>
      </c>
      <c r="C33" s="4" t="n">
        <v>1.440551659056477</v>
      </c>
      <c r="D33" s="6">
        <f>B33/$B$8-1</f>
        <v/>
      </c>
      <c r="E33" t="inlineStr">
        <is>
          <t>第26/30个交易日</t>
        </is>
      </c>
    </row>
    <row r="34">
      <c r="A34" s="3" t="n">
        <v>46309</v>
      </c>
      <c r="B34" s="4" t="n">
        <v>98.12000274658203</v>
      </c>
      <c r="C34" s="4" t="n">
        <v>-4.561808115342858</v>
      </c>
      <c r="D34" s="6">
        <f>B34/$B$8-1</f>
        <v/>
      </c>
      <c r="E34" t="inlineStr">
        <is>
          <t>第27/30个交易日</t>
        </is>
      </c>
    </row>
    <row r="35">
      <c r="A35" s="3" t="n">
        <v>46310</v>
      </c>
      <c r="B35" s="4" t="n">
        <v>95.37000274658203</v>
      </c>
      <c r="C35" s="4" t="n">
        <v>-2.802690504506533</v>
      </c>
      <c r="D35" s="6">
        <f>B35/$B$8-1</f>
        <v/>
      </c>
      <c r="E35" t="inlineStr">
        <is>
          <t>第28/30个交易日</t>
        </is>
      </c>
    </row>
    <row r="36">
      <c r="A36" s="3" t="n">
        <v>46311</v>
      </c>
      <c r="B36" s="4" t="n">
        <v>89.84999847412109</v>
      </c>
      <c r="C36" s="4" t="n">
        <v>-5.787987955844709</v>
      </c>
      <c r="D36" s="6">
        <f>B36/$B$8-1</f>
        <v/>
      </c>
      <c r="E36" t="inlineStr">
        <is>
          <t>第29/30个交易日</t>
        </is>
      </c>
    </row>
    <row r="37">
      <c r="A37" s="3" t="n">
        <v>46314</v>
      </c>
      <c r="B37" s="4" t="n">
        <v>92.02999877929688</v>
      </c>
      <c r="C37" s="4" t="n">
        <v>2.426266379741415</v>
      </c>
      <c r="D37" s="6">
        <f>B37/$B$8-1</f>
        <v/>
      </c>
      <c r="E37" t="inlineStr">
        <is>
          <t>第30/30个交易日</t>
        </is>
      </c>
    </row>
  </sheetData>
  <mergeCells count="1">
    <mergeCell ref="A1:D1"/>
  </mergeCells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2026-10-28T02:22:27Z</dcterms:created>
  <dcterms:modified xmlns:dcterms="http://purl.org/dc/terms/" xmlns:xsi="http://www.w3.org/2001/XMLSchema-instance" xsi:type="dcterms:W3CDTF">2026-10-28T02:22:28Z</dcterms:modified>
</cp:coreProperties>
</file>