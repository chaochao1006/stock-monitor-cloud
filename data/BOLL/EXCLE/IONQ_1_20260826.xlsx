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IONQ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'30日跟踪'!$A$8:$A$33</f>
            </numRef>
          </cat>
          <val>
            <numRef>
              <f>'30日跟踪'!$D$8:$D$33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IONQ 触发后30个交易日股价跟踪</t>
        </is>
      </c>
    </row>
    <row r="2">
      <c r="A2" s="2" t="inlineStr">
        <is>
          <t>股票代码</t>
        </is>
      </c>
      <c r="B2" t="inlineStr">
        <is>
          <t>IONQ</t>
        </is>
      </c>
    </row>
    <row r="3">
      <c r="A3" s="2" t="inlineStr">
        <is>
          <t>首次触发日</t>
        </is>
      </c>
      <c r="B3" s="3" t="n">
        <v>46260</v>
      </c>
    </row>
    <row r="4">
      <c r="A4" s="2" t="inlineStr">
        <is>
          <t>触发日收盘价</t>
        </is>
      </c>
      <c r="B4" s="4" t="n">
        <v>40.02999877929688</v>
      </c>
    </row>
    <row r="5">
      <c r="A5" s="2" t="inlineStr">
        <is>
          <t>更新到交易日</t>
        </is>
      </c>
      <c r="B5" s="3" t="n">
        <v>46296</v>
      </c>
    </row>
    <row r="6">
      <c r="A6" s="2" t="inlineStr">
        <is>
          <t>已记录交易日</t>
        </is>
      </c>
      <c r="B6" t="inlineStr">
        <is>
          <t>26/30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40.02999877929688</v>
      </c>
      <c r="C8" s="4" t="n">
        <v>-4.803806169830693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42.45999908447266</v>
      </c>
      <c r="C9" s="4" t="n">
        <v>6.070448112110749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39.20000076293945</v>
      </c>
      <c r="C10" s="4" t="n">
        <v>-7.677810626061376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39.31000137329102</v>
      </c>
      <c r="C11" s="4" t="n">
        <v>0.280613796455742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37.77999877929688</v>
      </c>
      <c r="C12" s="4" t="n">
        <v>-3.892145867574792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37.63999938964844</v>
      </c>
      <c r="C13" s="4" t="n">
        <v>-0.3705648337001932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39.02000045776367</v>
      </c>
      <c r="C14" s="4" t="n">
        <v>3.666315330745618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39.52000045776367</v>
      </c>
      <c r="C15" s="4" t="n">
        <v>1.281394141809944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40.47000122070312</v>
      </c>
      <c r="C16" s="4" t="n">
        <v>2.403848056516988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38.13999938964844</v>
      </c>
      <c r="C17" s="4" t="n">
        <v>-5.75735547510371</v>
      </c>
      <c r="D17" s="6">
        <f>B17/$B$8-1</f>
        <v/>
      </c>
      <c r="E17" t="inlineStr">
        <is>
          <t>第10/30个交易日</t>
        </is>
      </c>
    </row>
    <row r="18">
      <c r="A18" s="3" t="n">
        <v>46275</v>
      </c>
      <c r="B18" s="4" t="n">
        <v>36.84000015258789</v>
      </c>
      <c r="C18" s="4" t="n">
        <v>-3.408493072533658</v>
      </c>
      <c r="D18" s="6">
        <f>B18/$B$8-1</f>
        <v/>
      </c>
      <c r="E18" t="inlineStr">
        <is>
          <t>第11/30个交易日</t>
        </is>
      </c>
    </row>
    <row r="19">
      <c r="A19" s="3" t="n">
        <v>46276</v>
      </c>
      <c r="B19" s="4" t="n">
        <v>36.75</v>
      </c>
      <c r="C19" s="4" t="n">
        <v>-0.2443000874460366</v>
      </c>
      <c r="D19" s="6">
        <f>B19/$B$8-1</f>
        <v/>
      </c>
      <c r="E19" t="inlineStr">
        <is>
          <t>第12/30个交易日</t>
        </is>
      </c>
    </row>
    <row r="20">
      <c r="A20" s="3" t="n">
        <v>46279</v>
      </c>
      <c r="B20" s="4" t="n">
        <v>37.5</v>
      </c>
      <c r="C20" s="4" t="n">
        <v>2.040816326530615</v>
      </c>
      <c r="D20" s="6">
        <f>B20/$B$8-1</f>
        <v/>
      </c>
      <c r="E20" t="inlineStr">
        <is>
          <t>第13/30个交易日</t>
        </is>
      </c>
    </row>
    <row r="21">
      <c r="A21" s="3" t="n">
        <v>46280</v>
      </c>
      <c r="B21" s="4" t="n">
        <v>37.04999923706055</v>
      </c>
      <c r="C21" s="4" t="n">
        <v>-1.20000203450521</v>
      </c>
      <c r="D21" s="6">
        <f>B21/$B$8-1</f>
        <v/>
      </c>
      <c r="E21" t="inlineStr">
        <is>
          <t>第14/30个交易日</t>
        </is>
      </c>
    </row>
    <row r="22">
      <c r="A22" s="3" t="n">
        <v>46281</v>
      </c>
      <c r="B22" s="4" t="n">
        <v>36.84000015258789</v>
      </c>
      <c r="C22" s="4" t="n">
        <v>-0.5667991600458611</v>
      </c>
      <c r="D22" s="6">
        <f>B22/$B$8-1</f>
        <v/>
      </c>
      <c r="E22" t="inlineStr">
        <is>
          <t>第15/30个交易日</t>
        </is>
      </c>
    </row>
    <row r="23">
      <c r="A23" s="3" t="n">
        <v>46282</v>
      </c>
      <c r="B23" s="4" t="n">
        <v>40.34000015258789</v>
      </c>
      <c r="C23" s="4" t="n">
        <v>9.500542848814653</v>
      </c>
      <c r="D23" s="6">
        <f>B23/$B$8-1</f>
        <v/>
      </c>
      <c r="E23" t="inlineStr">
        <is>
          <t>第16/30个交易日</t>
        </is>
      </c>
    </row>
    <row r="24">
      <c r="A24" s="3" t="n">
        <v>46283</v>
      </c>
      <c r="B24" s="4" t="n">
        <v>39.13000106811523</v>
      </c>
      <c r="C24" s="4" t="n">
        <v>-2.999501933306348</v>
      </c>
      <c r="D24" s="6">
        <f>B24/$B$8-1</f>
        <v/>
      </c>
      <c r="E24" t="inlineStr">
        <is>
          <t>第17/30个交易日</t>
        </is>
      </c>
    </row>
    <row r="25">
      <c r="A25" s="3" t="n">
        <v>46286</v>
      </c>
      <c r="B25" s="4" t="n">
        <v>40.5099983215332</v>
      </c>
      <c r="C25" s="4" t="n">
        <v>3.526698736899458</v>
      </c>
      <c r="D25" s="6">
        <f>B25/$B$8-1</f>
        <v/>
      </c>
      <c r="E25" t="inlineStr">
        <is>
          <t>第18/30个交易日</t>
        </is>
      </c>
    </row>
    <row r="26">
      <c r="A26" s="3" t="n">
        <v>46287</v>
      </c>
      <c r="B26" s="4" t="n">
        <v>40.7400016784668</v>
      </c>
      <c r="C26" s="4" t="n">
        <v>0.5677693568585829</v>
      </c>
      <c r="D26" s="6">
        <f>B26/$B$8-1</f>
        <v/>
      </c>
      <c r="E26" t="inlineStr">
        <is>
          <t>第19/30个交易日</t>
        </is>
      </c>
    </row>
    <row r="27">
      <c r="A27" s="3" t="n">
        <v>46288</v>
      </c>
      <c r="B27" s="4" t="n">
        <v>42.54000091552734</v>
      </c>
      <c r="C27" s="4" t="n">
        <v>4.41826009548727</v>
      </c>
      <c r="D27" s="6">
        <f>B27/$B$8-1</f>
        <v/>
      </c>
      <c r="E27" t="inlineStr">
        <is>
          <t>第20/30个交易日</t>
        </is>
      </c>
    </row>
    <row r="28">
      <c r="A28" s="3" t="n">
        <v>46289</v>
      </c>
      <c r="B28" s="4" t="n">
        <v>44.97999954223633</v>
      </c>
      <c r="C28" s="4" t="n">
        <v>5.735774739530797</v>
      </c>
      <c r="D28" s="6">
        <f>B28/$B$8-1</f>
        <v/>
      </c>
      <c r="E28" t="inlineStr">
        <is>
          <t>第21/30个交易日</t>
        </is>
      </c>
    </row>
    <row r="29">
      <c r="A29" s="3" t="n">
        <v>46290</v>
      </c>
      <c r="B29" s="4" t="n">
        <v>45.47999954223633</v>
      </c>
      <c r="C29" s="4" t="n">
        <v>1.111605169160801</v>
      </c>
      <c r="D29" s="6">
        <f>B29/$B$8-1</f>
        <v/>
      </c>
      <c r="E29" t="inlineStr">
        <is>
          <t>第22/30个交易日</t>
        </is>
      </c>
    </row>
    <row r="30">
      <c r="A30" s="3" t="n">
        <v>46293</v>
      </c>
      <c r="B30" s="4" t="n">
        <v>44.58000183105469</v>
      </c>
      <c r="C30" s="4" t="n">
        <v>-1.978886807916147</v>
      </c>
      <c r="D30" s="6">
        <f>B30/$B$8-1</f>
        <v/>
      </c>
      <c r="E30" t="inlineStr">
        <is>
          <t>第23/30个交易日</t>
        </is>
      </c>
    </row>
    <row r="31">
      <c r="A31" s="3" t="n">
        <v>46294</v>
      </c>
      <c r="B31" s="4" t="n">
        <v>43.90999984741211</v>
      </c>
      <c r="C31" s="4" t="n">
        <v>-1.502920493771387</v>
      </c>
      <c r="D31" s="6">
        <f>B31/$B$8-1</f>
        <v/>
      </c>
      <c r="E31" t="inlineStr">
        <is>
          <t>第24/30个交易日</t>
        </is>
      </c>
    </row>
    <row r="32">
      <c r="A32" s="3" t="n">
        <v>46295</v>
      </c>
      <c r="B32" s="4" t="n">
        <v>43.86000061035156</v>
      </c>
      <c r="C32" s="4" t="n">
        <v>-0.1138675409571688</v>
      </c>
      <c r="D32" s="6">
        <f>B32/$B$8-1</f>
        <v/>
      </c>
      <c r="E32" t="inlineStr">
        <is>
          <t>第25/30个交易日</t>
        </is>
      </c>
    </row>
    <row r="33">
      <c r="A33" s="3" t="n">
        <v>46296</v>
      </c>
      <c r="B33" s="4" t="n">
        <v>43.9900016784668</v>
      </c>
      <c r="C33" s="4" t="n">
        <v>0.2964000599775529</v>
      </c>
      <c r="D33" s="6">
        <f>B33/$B$8-1</f>
        <v/>
      </c>
      <c r="E33" t="inlineStr">
        <is>
          <t>第26/30个交易日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2026-10-02T02:19:41Z</dcterms:created>
  <dcterms:modified xmlns:dcterms="http://purl.org/dc/terms/" xmlns:xsi="http://www.w3.org/2001/XMLSchema-instance" xsi:type="dcterms:W3CDTF">2026-10-02T02:19:41Z</dcterms:modified>
</cp:coreProperties>
</file>