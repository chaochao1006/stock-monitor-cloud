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RKLB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'30日跟踪'!$A$8:$A$24</f>
            </numRef>
          </cat>
          <val>
            <numRef>
              <f>'30日跟踪'!$D$8:$D$24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RKLB 触发后30个交易日股价跟踪</t>
        </is>
      </c>
    </row>
    <row r="2">
      <c r="A2" s="2" t="inlineStr">
        <is>
          <t>股票代码</t>
        </is>
      </c>
      <c r="B2" t="inlineStr">
        <is>
          <t>RKLB</t>
        </is>
      </c>
    </row>
    <row r="3">
      <c r="A3" s="2" t="inlineStr">
        <is>
          <t>首次触发日</t>
        </is>
      </c>
      <c r="B3" s="3" t="n">
        <v>46283</v>
      </c>
    </row>
    <row r="4">
      <c r="A4" s="2" t="inlineStr">
        <is>
          <t>触发日收盘价</t>
        </is>
      </c>
      <c r="B4" s="4" t="n">
        <v>64.56999969482422</v>
      </c>
    </row>
    <row r="5">
      <c r="A5" s="2" t="inlineStr">
        <is>
          <t>更新到交易日</t>
        </is>
      </c>
      <c r="B5" s="3" t="n">
        <v>46307</v>
      </c>
    </row>
    <row r="6">
      <c r="A6" s="2" t="inlineStr">
        <is>
          <t>已记录交易日</t>
        </is>
      </c>
      <c r="B6" t="inlineStr">
        <is>
          <t>17/30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64.56999969482422</v>
      </c>
      <c r="C8" s="4" t="n">
        <v>-4.792096748192742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69.88999938964844</v>
      </c>
      <c r="C9" s="4" t="n">
        <v>8.239119900833236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71.98000335693359</v>
      </c>
      <c r="C10" s="4" t="n">
        <v>2.990419209525297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70.30999755859375</v>
      </c>
      <c r="C11" s="4" t="n">
        <v>-2.32009686087209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73.61000061035156</v>
      </c>
      <c r="C12" s="4" t="n">
        <v>4.693504716747721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73.94999694824219</v>
      </c>
      <c r="C13" s="4" t="n">
        <v>0.4618887855882159</v>
      </c>
      <c r="D13" s="6">
        <f>B13/$B$8-1</f>
        <v/>
      </c>
      <c r="E13" t="inlineStr">
        <is>
          <t>第6/30个交易日</t>
        </is>
      </c>
    </row>
    <row r="14">
      <c r="A14" s="3" t="n">
        <v>46293</v>
      </c>
      <c r="B14" s="4" t="n">
        <v>72.19000244140625</v>
      </c>
      <c r="C14" s="4" t="n">
        <v>-2.379979147352451</v>
      </c>
      <c r="D14" s="6">
        <f>B14/$B$8-1</f>
        <v/>
      </c>
      <c r="E14" t="inlineStr">
        <is>
          <t>第7/30个交易日</t>
        </is>
      </c>
    </row>
    <row r="15">
      <c r="A15" s="3" t="n">
        <v>46294</v>
      </c>
      <c r="B15" s="4" t="n">
        <v>69.69999694824219</v>
      </c>
      <c r="C15" s="4" t="n">
        <v>-3.449238688120426</v>
      </c>
      <c r="D15" s="6">
        <f>B15/$B$8-1</f>
        <v/>
      </c>
      <c r="E15" t="inlineStr">
        <is>
          <t>第8/30个交易日</t>
        </is>
      </c>
    </row>
    <row r="16">
      <c r="A16" s="3" t="n">
        <v>46295</v>
      </c>
      <c r="B16" s="4" t="n">
        <v>69.68000030517578</v>
      </c>
      <c r="C16" s="4" t="n">
        <v>-0.02868958958671675</v>
      </c>
      <c r="D16" s="6">
        <f>B16/$B$8-1</f>
        <v/>
      </c>
      <c r="E16" t="inlineStr">
        <is>
          <t>第9/30个交易日</t>
        </is>
      </c>
    </row>
    <row r="17">
      <c r="A17" s="3" t="n">
        <v>46296</v>
      </c>
      <c r="B17" s="4" t="n">
        <v>70.45999908447266</v>
      </c>
      <c r="C17" s="4" t="n">
        <v>1.119401228301853</v>
      </c>
      <c r="D17" s="6">
        <f>B17/$B$8-1</f>
        <v/>
      </c>
      <c r="E17" t="inlineStr">
        <is>
          <t>第10/30个交易日</t>
        </is>
      </c>
    </row>
    <row r="18">
      <c r="A18" s="3" t="n">
        <v>46297</v>
      </c>
      <c r="B18" s="4" t="n">
        <v>73.91999816894531</v>
      </c>
      <c r="C18" s="4" t="n">
        <v>4.910586331862632</v>
      </c>
      <c r="D18" s="6">
        <f>B18/$B$8-1</f>
        <v/>
      </c>
      <c r="E18" t="inlineStr">
        <is>
          <t>第11/30个交易日</t>
        </is>
      </c>
    </row>
    <row r="19">
      <c r="A19" s="3" t="n">
        <v>46300</v>
      </c>
      <c r="B19" s="4" t="n">
        <v>73.01999664306641</v>
      </c>
      <c r="C19" s="4" t="n">
        <v>-1.217534561921851</v>
      </c>
      <c r="D19" s="6">
        <f>B19/$B$8-1</f>
        <v/>
      </c>
      <c r="E19" t="inlineStr">
        <is>
          <t>第12/30个交易日</t>
        </is>
      </c>
    </row>
    <row r="20">
      <c r="A20" s="3" t="n">
        <v>46301</v>
      </c>
      <c r="B20" s="4" t="n">
        <v>75.05999755859375</v>
      </c>
      <c r="C20" s="4" t="n">
        <v>2.793756517819634</v>
      </c>
      <c r="D20" s="6">
        <f>B20/$B$8-1</f>
        <v/>
      </c>
      <c r="E20" t="inlineStr">
        <is>
          <t>第13/30个交易日</t>
        </is>
      </c>
    </row>
    <row r="21">
      <c r="A21" s="3" t="n">
        <v>46302</v>
      </c>
      <c r="B21" s="4" t="n">
        <v>71.91999816894531</v>
      </c>
      <c r="C21" s="4" t="n">
        <v>-4.183319333573488</v>
      </c>
      <c r="D21" s="6">
        <f>B21/$B$8-1</f>
        <v/>
      </c>
      <c r="E21" t="inlineStr">
        <is>
          <t>第14/30个交易日</t>
        </is>
      </c>
    </row>
    <row r="22">
      <c r="A22" s="3" t="n">
        <v>46303</v>
      </c>
      <c r="B22" s="4" t="n">
        <v>68.40000152587891</v>
      </c>
      <c r="C22" s="4" t="n">
        <v>-4.894322487046898</v>
      </c>
      <c r="D22" s="6">
        <f>B22/$B$8-1</f>
        <v/>
      </c>
      <c r="E22" t="inlineStr">
        <is>
          <t>第15/30个交易日</t>
        </is>
      </c>
    </row>
    <row r="23">
      <c r="A23" s="3" t="n">
        <v>46304</v>
      </c>
      <c r="B23" s="4" t="n">
        <v>68.20999908447266</v>
      </c>
      <c r="C23" s="4" t="n">
        <v>-0.2777813408883723</v>
      </c>
      <c r="D23" s="6">
        <f>B23/$B$8-1</f>
        <v/>
      </c>
      <c r="E23" t="inlineStr">
        <is>
          <t>第16/30个交易日</t>
        </is>
      </c>
    </row>
    <row r="24">
      <c r="A24" s="3" t="n">
        <v>46307</v>
      </c>
      <c r="B24" s="4" t="n">
        <v>65.70999908447266</v>
      </c>
      <c r="C24" s="4" t="n">
        <v>-3.665151786476273</v>
      </c>
      <c r="D24" s="6">
        <f>B24/$B$8-1</f>
        <v/>
      </c>
      <c r="E24" t="inlineStr">
        <is>
          <t>第17/30个交易日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2026-10-13T03:37:49Z</dcterms:created>
  <dcterms:modified xmlns:dcterms="http://purl.org/dc/terms/" xmlns:xsi="http://www.w3.org/2001/XMLSchema-instance" xsi:type="dcterms:W3CDTF">2026-10-13T03:37:49Z</dcterms:modified>
</cp:coreProperties>
</file>