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MSFT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'30日跟踪'!$A$8:$A$28</f>
            </numRef>
          </cat>
          <val>
            <numRef>
              <f>'30日跟踪'!$D$8:$D$28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MSFT 触发后30个交易日股价跟踪</t>
        </is>
      </c>
    </row>
    <row r="2">
      <c r="A2" s="2" t="inlineStr">
        <is>
          <t>股票代码</t>
        </is>
      </c>
      <c r="B2" t="inlineStr">
        <is>
          <t>MSFT</t>
        </is>
      </c>
    </row>
    <row r="3">
      <c r="A3" s="2" t="inlineStr">
        <is>
          <t>首次触发日</t>
        </is>
      </c>
      <c r="B3" s="3" t="n">
        <v>46262</v>
      </c>
    </row>
    <row r="4">
      <c r="A4" s="2" t="inlineStr">
        <is>
          <t>触发日收盘价</t>
        </is>
      </c>
      <c r="B4" s="4" t="n">
        <v>513.530029296875</v>
      </c>
    </row>
    <row r="5">
      <c r="A5" s="2" t="inlineStr">
        <is>
          <t>更新到交易日</t>
        </is>
      </c>
      <c r="B5" s="3" t="n">
        <v>46293</v>
      </c>
    </row>
    <row r="6">
      <c r="A6" s="2" t="inlineStr">
        <is>
          <t>已记录交易日</t>
        </is>
      </c>
      <c r="B6" t="inlineStr">
        <is>
          <t>21/30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513.530029296875</v>
      </c>
      <c r="C8" s="4" t="n">
        <v>1.677034764032892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507.2900085449219</v>
      </c>
      <c r="C9" s="4" t="n">
        <v>-1.215122854742678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501.0199890136719</v>
      </c>
      <c r="C10" s="4" t="n">
        <v>-1.235983249351691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496.8200073242188</v>
      </c>
      <c r="C11" s="4" t="n">
        <v>-0.8382862523551915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510.1199951171875</v>
      </c>
      <c r="C12" s="4" t="n">
        <v>2.67702338812803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499.7000122070312</v>
      </c>
      <c r="C13" s="4" t="n">
        <v>-2.042653299203168</v>
      </c>
      <c r="D13" s="6">
        <f>B13/$B$8-1</f>
        <v/>
      </c>
      <c r="E13" t="inlineStr">
        <is>
          <t>第6/30个交易日</t>
        </is>
      </c>
    </row>
    <row r="14">
      <c r="A14" s="3" t="n">
        <v>46273</v>
      </c>
      <c r="B14" s="4" t="n">
        <v>493.9500122070312</v>
      </c>
      <c r="C14" s="4" t="n">
        <v>-1.150690386138653</v>
      </c>
      <c r="D14" s="6">
        <f>B14/$B$8-1</f>
        <v/>
      </c>
      <c r="E14" t="inlineStr">
        <is>
          <t>第7/30个交易日</t>
        </is>
      </c>
    </row>
    <row r="15">
      <c r="A15" s="3" t="n">
        <v>46274</v>
      </c>
      <c r="B15" s="4" t="n">
        <v>491.6499938964844</v>
      </c>
      <c r="C15" s="4" t="n">
        <v>-0.4656378689556262</v>
      </c>
      <c r="D15" s="6">
        <f>B15/$B$8-1</f>
        <v/>
      </c>
      <c r="E15" t="inlineStr">
        <is>
          <t>第8/30个交易日</t>
        </is>
      </c>
    </row>
    <row r="16">
      <c r="A16" s="3" t="n">
        <v>46275</v>
      </c>
      <c r="B16" s="4" t="n">
        <v>492.4400024414062</v>
      </c>
      <c r="C16" s="4" t="n">
        <v>0.1606851530009834</v>
      </c>
      <c r="D16" s="6">
        <f>B16/$B$8-1</f>
        <v/>
      </c>
      <c r="E16" t="inlineStr">
        <is>
          <t>第9/30个交易日</t>
        </is>
      </c>
    </row>
    <row r="17">
      <c r="A17" s="3" t="n">
        <v>46276</v>
      </c>
      <c r="B17" s="4" t="n">
        <v>495.6300048828125</v>
      </c>
      <c r="C17" s="4" t="n">
        <v>0.6477951477521948</v>
      </c>
      <c r="D17" s="6">
        <f>B17/$B$8-1</f>
        <v/>
      </c>
      <c r="E17" t="inlineStr">
        <is>
          <t>第10/30个交易日</t>
        </is>
      </c>
    </row>
    <row r="18">
      <c r="A18" s="3" t="n">
        <v>46279</v>
      </c>
      <c r="B18" s="4" t="n">
        <v>505.4100036621094</v>
      </c>
      <c r="C18" s="4" t="n">
        <v>1.973245905806142</v>
      </c>
      <c r="D18" s="6">
        <f>B18/$B$8-1</f>
        <v/>
      </c>
      <c r="E18" t="inlineStr">
        <is>
          <t>第11/30个交易日</t>
        </is>
      </c>
    </row>
    <row r="19">
      <c r="A19" s="3" t="n">
        <v>46280</v>
      </c>
      <c r="B19" s="4" t="n">
        <v>497.1199951171875</v>
      </c>
      <c r="C19" s="4" t="n">
        <v>-1.640254147099185</v>
      </c>
      <c r="D19" s="6">
        <f>B19/$B$8-1</f>
        <v/>
      </c>
      <c r="E19" t="inlineStr">
        <is>
          <t>第12/30个交易日</t>
        </is>
      </c>
    </row>
    <row r="20">
      <c r="A20" s="3" t="n">
        <v>46281</v>
      </c>
      <c r="B20" s="4" t="n">
        <v>490.2999877929688</v>
      </c>
      <c r="C20" s="4" t="n">
        <v>-1.371903643226224</v>
      </c>
      <c r="D20" s="6">
        <f>B20/$B$8-1</f>
        <v/>
      </c>
      <c r="E20" t="inlineStr">
        <is>
          <t>第13/30个交易日</t>
        </is>
      </c>
    </row>
    <row r="21">
      <c r="A21" s="3" t="n">
        <v>46282</v>
      </c>
      <c r="B21" s="4" t="n">
        <v>497.75</v>
      </c>
      <c r="C21" s="4" t="n">
        <v>1.519480398228579</v>
      </c>
      <c r="D21" s="6">
        <f>B21/$B$8-1</f>
        <v/>
      </c>
      <c r="E21" t="inlineStr">
        <is>
          <t>第14/30个交易日</t>
        </is>
      </c>
    </row>
    <row r="22">
      <c r="A22" s="3" t="n">
        <v>46283</v>
      </c>
      <c r="B22" s="4" t="n">
        <v>493.7799987792969</v>
      </c>
      <c r="C22" s="4" t="n">
        <v>-0.7975893964245362</v>
      </c>
      <c r="D22" s="6">
        <f>B22/$B$8-1</f>
        <v/>
      </c>
      <c r="E22" t="inlineStr">
        <is>
          <t>第15/30个交易日</t>
        </is>
      </c>
    </row>
    <row r="23">
      <c r="A23" s="3" t="n">
        <v>46286</v>
      </c>
      <c r="B23" s="4" t="n">
        <v>501.6099853515625</v>
      </c>
      <c r="C23" s="4" t="n">
        <v>1.585723721418963</v>
      </c>
      <c r="D23" s="6">
        <f>B23/$B$8-1</f>
        <v/>
      </c>
      <c r="E23" t="inlineStr">
        <is>
          <t>第16/30个交易日</t>
        </is>
      </c>
    </row>
    <row r="24">
      <c r="A24" s="3" t="n">
        <v>46287</v>
      </c>
      <c r="B24" s="4" t="n">
        <v>498</v>
      </c>
      <c r="C24" s="4" t="n">
        <v>-0.7196797226898033</v>
      </c>
      <c r="D24" s="6">
        <f>B24/$B$8-1</f>
        <v/>
      </c>
      <c r="E24" t="inlineStr">
        <is>
          <t>第17/30个交易日</t>
        </is>
      </c>
    </row>
    <row r="25">
      <c r="A25" s="3" t="n">
        <v>46288</v>
      </c>
      <c r="B25" s="4" t="n">
        <v>500.5899963378906</v>
      </c>
      <c r="C25" s="4" t="n">
        <v>0.5200795859218177</v>
      </c>
      <c r="D25" s="6">
        <f>B25/$B$8-1</f>
        <v/>
      </c>
      <c r="E25" t="inlineStr">
        <is>
          <t>第18/30个交易日</t>
        </is>
      </c>
    </row>
    <row r="26">
      <c r="A26" s="3" t="n">
        <v>46289</v>
      </c>
      <c r="B26" s="4" t="n">
        <v>497.9299926757812</v>
      </c>
      <c r="C26" s="4" t="n">
        <v>-0.531373715329686</v>
      </c>
      <c r="D26" s="6">
        <f>B26/$B$8-1</f>
        <v/>
      </c>
      <c r="E26" t="inlineStr">
        <is>
          <t>第19/30个交易日</t>
        </is>
      </c>
    </row>
    <row r="27">
      <c r="A27" s="3" t="n">
        <v>46290</v>
      </c>
      <c r="B27" s="4" t="n">
        <v>516.1699829101562</v>
      </c>
      <c r="C27" s="4" t="n">
        <v>3.663163597829633</v>
      </c>
      <c r="D27" s="6">
        <f>B27/$B$8-1</f>
        <v/>
      </c>
      <c r="E27" t="inlineStr">
        <is>
          <t>第20/30个交易日</t>
        </is>
      </c>
    </row>
    <row r="28">
      <c r="A28" s="3" t="n">
        <v>46293</v>
      </c>
      <c r="B28" s="4" t="n">
        <v>509.2200012207031</v>
      </c>
      <c r="C28" s="4" t="n">
        <v>-1.346452122277486</v>
      </c>
      <c r="D28" s="6">
        <f>B28/$B$8-1</f>
        <v/>
      </c>
      <c r="E28" t="inlineStr">
        <is>
          <t>第21/30个交易日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2026-09-29T08:29:11Z</dcterms:created>
  <dcterms:modified xmlns:dcterms="http://purl.org/dc/terms/" xmlns:xsi="http://www.w3.org/2001/XMLSchema-instance" xsi:type="dcterms:W3CDTF">2026-09-29T08:29:11Z</dcterms:modified>
</cp:coreProperties>
</file>