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VICR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'30日跟踪'!$A$8:$A$27</f>
            </numRef>
          </cat>
          <val>
            <numRef>
              <f>'30日跟踪'!$D$8:$D$27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VICR 触发后30个交易日股价跟踪</t>
        </is>
      </c>
    </row>
    <row r="2">
      <c r="A2" s="2" t="inlineStr">
        <is>
          <t>股票代码</t>
        </is>
      </c>
      <c r="B2" t="inlineStr">
        <is>
          <t>VICR</t>
        </is>
      </c>
    </row>
    <row r="3">
      <c r="A3" s="2" t="inlineStr">
        <is>
          <t>首次触发日</t>
        </is>
      </c>
      <c r="B3" s="3" t="n">
        <v>46281</v>
      </c>
    </row>
    <row r="4">
      <c r="A4" s="2" t="inlineStr">
        <is>
          <t>触发日收盘价</t>
        </is>
      </c>
      <c r="B4" s="4" t="n">
        <v>183.9100036621094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20/30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46281</v>
      </c>
      <c r="B8" s="4" t="n">
        <v>183.9100036621094</v>
      </c>
      <c r="C8" s="4" t="n">
        <v>-0.03261268587032573</v>
      </c>
      <c r="D8" s="6">
        <f>B8/$B$8-1</f>
        <v/>
      </c>
      <c r="E8" t="inlineStr">
        <is>
          <t>第1/30个交易日</t>
        </is>
      </c>
    </row>
    <row r="9">
      <c r="A9" s="3" t="n">
        <v>46282</v>
      </c>
      <c r="B9" s="4" t="n">
        <v>216.3899993896484</v>
      </c>
      <c r="C9" s="4" t="n">
        <v>17.66080967907178</v>
      </c>
      <c r="D9" s="6">
        <f>B9/$B$8-1</f>
        <v/>
      </c>
      <c r="E9" t="inlineStr">
        <is>
          <t>第2/30个交易日</t>
        </is>
      </c>
    </row>
    <row r="10">
      <c r="A10" s="3" t="n">
        <v>46283</v>
      </c>
      <c r="B10" s="4" t="n">
        <v>222.7200012207031</v>
      </c>
      <c r="C10" s="4" t="n">
        <v>2.925274665607991</v>
      </c>
      <c r="D10" s="6">
        <f>B10/$B$8-1</f>
        <v/>
      </c>
      <c r="E10" t="inlineStr">
        <is>
          <t>第3/30个交易日</t>
        </is>
      </c>
    </row>
    <row r="11">
      <c r="A11" s="3" t="n">
        <v>46286</v>
      </c>
      <c r="B11" s="4" t="n">
        <v>223.8999938964844</v>
      </c>
      <c r="C11" s="4" t="n">
        <v>0.5298099269548606</v>
      </c>
      <c r="D11" s="6">
        <f>B11/$B$8-1</f>
        <v/>
      </c>
      <c r="E11" t="inlineStr">
        <is>
          <t>第4/30个交易日</t>
        </is>
      </c>
    </row>
    <row r="12">
      <c r="A12" s="3" t="n">
        <v>46287</v>
      </c>
      <c r="B12" s="4" t="n">
        <v>268.3399963378906</v>
      </c>
      <c r="C12" s="4" t="n">
        <v>19.84814812543148</v>
      </c>
      <c r="D12" s="6">
        <f>B12/$B$8-1</f>
        <v/>
      </c>
      <c r="E12" t="inlineStr">
        <is>
          <t>第5/30个交易日</t>
        </is>
      </c>
    </row>
    <row r="13">
      <c r="A13" s="3" t="n">
        <v>46288</v>
      </c>
      <c r="B13" s="4" t="n">
        <v>283.1600036621094</v>
      </c>
      <c r="C13" s="4" t="n">
        <v>5.522846957766814</v>
      </c>
      <c r="D13" s="6">
        <f>B13/$B$8-1</f>
        <v/>
      </c>
      <c r="E13" t="inlineStr">
        <is>
          <t>第6/30个交易日</t>
        </is>
      </c>
    </row>
    <row r="14">
      <c r="A14" s="3" t="n">
        <v>46289</v>
      </c>
      <c r="B14" s="4" t="n">
        <v>276.0599975585938</v>
      </c>
      <c r="C14" s="4" t="n">
        <v>-2.507418424809726</v>
      </c>
      <c r="D14" s="6">
        <f>B14/$B$8-1</f>
        <v/>
      </c>
      <c r="E14" t="inlineStr">
        <is>
          <t>第7/30个交易日</t>
        </is>
      </c>
    </row>
    <row r="15">
      <c r="A15" s="3" t="n">
        <v>46290</v>
      </c>
      <c r="B15" s="4" t="n">
        <v>281.9599914550781</v>
      </c>
      <c r="C15" s="4" t="n">
        <v>2.137214355090356</v>
      </c>
      <c r="D15" s="6">
        <f>B15/$B$8-1</f>
        <v/>
      </c>
      <c r="E15" t="inlineStr">
        <is>
          <t>第8/30个交易日</t>
        </is>
      </c>
    </row>
    <row r="16">
      <c r="A16" s="3" t="n">
        <v>46293</v>
      </c>
      <c r="B16" s="4" t="n">
        <v>285.1000061035156</v>
      </c>
      <c r="C16" s="4" t="n">
        <v>1.11363836842</v>
      </c>
      <c r="D16" s="6">
        <f>B16/$B$8-1</f>
        <v/>
      </c>
      <c r="E16" t="inlineStr">
        <is>
          <t>第9/30个交易日</t>
        </is>
      </c>
    </row>
    <row r="17">
      <c r="A17" s="3" t="n">
        <v>46294</v>
      </c>
      <c r="B17" s="4" t="n">
        <v>290.6799926757812</v>
      </c>
      <c r="C17" s="4" t="n">
        <v>1.957203245460337</v>
      </c>
      <c r="D17" s="6">
        <f>B17/$B$8-1</f>
        <v/>
      </c>
      <c r="E17" t="inlineStr">
        <is>
          <t>第10/30个交易日</t>
        </is>
      </c>
    </row>
    <row r="18">
      <c r="A18" s="3" t="n">
        <v>46295</v>
      </c>
      <c r="B18" s="4" t="n">
        <v>288.9400024414062</v>
      </c>
      <c r="C18" s="4" t="n">
        <v>-0.5985930501641867</v>
      </c>
      <c r="D18" s="6">
        <f>B18/$B$8-1</f>
        <v/>
      </c>
      <c r="E18" t="inlineStr">
        <is>
          <t>第11/30个交易日</t>
        </is>
      </c>
    </row>
    <row r="19">
      <c r="A19" s="3" t="n">
        <v>46296</v>
      </c>
      <c r="B19" s="4" t="n">
        <v>308.5899963378906</v>
      </c>
      <c r="C19" s="4" t="n">
        <v>6.800717702793402</v>
      </c>
      <c r="D19" s="6">
        <f>B19/$B$8-1</f>
        <v/>
      </c>
      <c r="E19" t="inlineStr">
        <is>
          <t>第12/30个交易日</t>
        </is>
      </c>
    </row>
    <row r="20">
      <c r="A20" s="3" t="n">
        <v>46297</v>
      </c>
      <c r="B20" s="4" t="n">
        <v>308.8999938964844</v>
      </c>
      <c r="C20" s="4" t="n">
        <v>0.1004561269881021</v>
      </c>
      <c r="D20" s="6">
        <f>B20/$B$8-1</f>
        <v/>
      </c>
      <c r="E20" t="inlineStr">
        <is>
          <t>第13/30个交易日</t>
        </is>
      </c>
    </row>
    <row r="21">
      <c r="A21" s="3" t="n">
        <v>46300</v>
      </c>
      <c r="B21" s="4" t="n">
        <v>305.6099853515625</v>
      </c>
      <c r="C21" s="4" t="n">
        <v>-1.065072389099619</v>
      </c>
      <c r="D21" s="6">
        <f>B21/$B$8-1</f>
        <v/>
      </c>
      <c r="E21" t="inlineStr">
        <is>
          <t>第14/30个交易日</t>
        </is>
      </c>
    </row>
    <row r="22">
      <c r="A22" s="3" t="n">
        <v>46301</v>
      </c>
      <c r="B22" s="4" t="n">
        <v>299.2900085449219</v>
      </c>
      <c r="C22" s="4" t="n">
        <v>-2.067987667147186</v>
      </c>
      <c r="D22" s="6">
        <f>B22/$B$8-1</f>
        <v/>
      </c>
      <c r="E22" t="inlineStr">
        <is>
          <t>第15/30个交易日</t>
        </is>
      </c>
    </row>
    <row r="23">
      <c r="A23" s="3" t="n">
        <v>46302</v>
      </c>
      <c r="B23" s="4" t="n">
        <v>282.7799987792969</v>
      </c>
      <c r="C23" s="4" t="n">
        <v>-5.516391892229489</v>
      </c>
      <c r="D23" s="6">
        <f>B23/$B$8-1</f>
        <v/>
      </c>
      <c r="E23" t="inlineStr">
        <is>
          <t>第16/30个交易日</t>
        </is>
      </c>
    </row>
    <row r="24">
      <c r="A24" s="3" t="n">
        <v>46303</v>
      </c>
      <c r="B24" s="4" t="n">
        <v>262.3200073242188</v>
      </c>
      <c r="C24" s="4" t="n">
        <v>-7.235303608246591</v>
      </c>
      <c r="D24" s="6">
        <f>B24/$B$8-1</f>
        <v/>
      </c>
      <c r="E24" t="inlineStr">
        <is>
          <t>第17/30个交易日</t>
        </is>
      </c>
    </row>
    <row r="25">
      <c r="A25" s="3" t="n">
        <v>46304</v>
      </c>
      <c r="B25" s="4" t="n">
        <v>266.0700073242188</v>
      </c>
      <c r="C25" s="4" t="n">
        <v>1.429551652674799</v>
      </c>
      <c r="D25" s="6">
        <f>B25/$B$8-1</f>
        <v/>
      </c>
      <c r="E25" t="inlineStr">
        <is>
          <t>第18/30个交易日</t>
        </is>
      </c>
    </row>
    <row r="26">
      <c r="A26" s="3" t="n">
        <v>46307</v>
      </c>
      <c r="B26" s="4" t="n">
        <v>259.3999938964844</v>
      </c>
      <c r="C26" s="4" t="n">
        <v>-2.506864074914938</v>
      </c>
      <c r="D26" s="6">
        <f>B26/$B$8-1</f>
        <v/>
      </c>
      <c r="E26" t="inlineStr">
        <is>
          <t>第19/30个交易日</t>
        </is>
      </c>
    </row>
    <row r="27">
      <c r="A27" s="3" t="n">
        <v>46308</v>
      </c>
      <c r="B27" s="4" t="n">
        <v>267.239990234375</v>
      </c>
      <c r="C27" s="4" t="n">
        <v>3.022357950023413</v>
      </c>
      <c r="D27" s="6">
        <f>B27/$B$8-1</f>
        <v/>
      </c>
      <c r="E27" t="inlineStr">
        <is>
          <t>第20/30个交易日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2026-10-14T01:59:00Z</dcterms:created>
  <dcterms:modified xmlns:dcterms="http://purl.org/dc/terms/" xmlns:xsi="http://www.w3.org/2001/XMLSchema-instance" xsi:type="dcterms:W3CDTF">2026-10-14T01:59:00Z</dcterms:modified>
</cp:coreProperties>
</file>