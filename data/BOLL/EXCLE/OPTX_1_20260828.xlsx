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OPTX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'30日跟踪'!$A$8:$A$28</f>
            </numRef>
          </cat>
          <val>
            <numRef>
              <f>'30日跟踪'!$D$8:$D$28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OPTX 触发后30个交易日股价跟踪</t>
        </is>
      </c>
    </row>
    <row r="2">
      <c r="A2" s="2" t="inlineStr">
        <is>
          <t>股票代码</t>
        </is>
      </c>
      <c r="B2" t="inlineStr">
        <is>
          <t>OPTX</t>
        </is>
      </c>
    </row>
    <row r="3">
      <c r="A3" s="2" t="inlineStr">
        <is>
          <t>首次触发日</t>
        </is>
      </c>
      <c r="B3" s="3" t="n">
        <v>46262</v>
      </c>
    </row>
    <row r="4">
      <c r="A4" s="2" t="inlineStr">
        <is>
          <t>触发日收盘价</t>
        </is>
      </c>
      <c r="B4" s="4" t="n">
        <v>8.520000457763672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21/30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8.520000457763672</v>
      </c>
      <c r="C8" s="4" t="n">
        <v>-2.405487920780136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8.189999580383301</v>
      </c>
      <c r="C9" s="4" t="n">
        <v>-3.873249526408939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7.28000020980835</v>
      </c>
      <c r="C10" s="4" t="n">
        <v>-11.11110399510378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7.53000020980835</v>
      </c>
      <c r="C11" s="4" t="n">
        <v>3.434065835096756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7.760000228881836</v>
      </c>
      <c r="C12" s="4" t="n">
        <v>3.054449039375795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7.570000171661377</v>
      </c>
      <c r="C13" s="4" t="n">
        <v>-2.448454273407108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7.760000228881836</v>
      </c>
      <c r="C14" s="4" t="n">
        <v>2.509908228691105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7.610000133514404</v>
      </c>
      <c r="C15" s="4" t="n">
        <v>-1.93299086266967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7.289999961853027</v>
      </c>
      <c r="C16" s="4" t="n">
        <v>-4.204995611657059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7.099999904632568</v>
      </c>
      <c r="C17" s="4" t="n">
        <v>-2.606310812272805</v>
      </c>
      <c r="D17" s="6">
        <f>B17/$B$8-1</f>
        <v/>
      </c>
      <c r="E17" t="inlineStr">
        <is>
          <t>第10/30个交易日</t>
        </is>
      </c>
    </row>
    <row r="18">
      <c r="A18" s="3" t="n">
        <v>46279</v>
      </c>
      <c r="B18" s="4" t="n">
        <v>6.78000020980835</v>
      </c>
      <c r="C18" s="4" t="n">
        <v>-4.507038015809373</v>
      </c>
      <c r="D18" s="6">
        <f>B18/$B$8-1</f>
        <v/>
      </c>
      <c r="E18" t="inlineStr">
        <is>
          <t>第11/30个交易日</t>
        </is>
      </c>
    </row>
    <row r="19">
      <c r="A19" s="3" t="n">
        <v>46280</v>
      </c>
      <c r="B19" s="4" t="n">
        <v>6.25</v>
      </c>
      <c r="C19" s="4" t="n">
        <v>-7.817111997159232</v>
      </c>
      <c r="D19" s="6">
        <f>B19/$B$8-1</f>
        <v/>
      </c>
      <c r="E19" t="inlineStr">
        <is>
          <t>第12/30个交易日</t>
        </is>
      </c>
    </row>
    <row r="20">
      <c r="A20" s="3" t="n">
        <v>46281</v>
      </c>
      <c r="B20" s="4" t="n">
        <v>6.369999885559082</v>
      </c>
      <c r="C20" s="4" t="n">
        <v>1.919998168945303</v>
      </c>
      <c r="D20" s="6">
        <f>B20/$B$8-1</f>
        <v/>
      </c>
      <c r="E20" t="inlineStr">
        <is>
          <t>第13/30个交易日</t>
        </is>
      </c>
    </row>
    <row r="21">
      <c r="A21" s="3" t="n">
        <v>46282</v>
      </c>
      <c r="B21" s="4" t="n">
        <v>6.71999979019165</v>
      </c>
      <c r="C21" s="4" t="n">
        <v>5.494504096083652</v>
      </c>
      <c r="D21" s="6">
        <f>B21/$B$8-1</f>
        <v/>
      </c>
      <c r="E21" t="inlineStr">
        <is>
          <t>第14/30个交易日</t>
        </is>
      </c>
    </row>
    <row r="22">
      <c r="A22" s="3" t="n">
        <v>46283</v>
      </c>
      <c r="B22" s="4" t="n">
        <v>6.789999961853027</v>
      </c>
      <c r="C22" s="4" t="n">
        <v>1.041669253673905</v>
      </c>
      <c r="D22" s="6">
        <f>B22/$B$8-1</f>
        <v/>
      </c>
      <c r="E22" t="inlineStr">
        <is>
          <t>第15/30个交易日</t>
        </is>
      </c>
    </row>
    <row r="23">
      <c r="A23" s="3" t="n">
        <v>46286</v>
      </c>
      <c r="B23" s="4" t="n">
        <v>7.889999866485596</v>
      </c>
      <c r="C23" s="4" t="n">
        <v>16.20029323729735</v>
      </c>
      <c r="D23" s="6">
        <f>B23/$B$8-1</f>
        <v/>
      </c>
      <c r="E23" t="inlineStr">
        <is>
          <t>第16/30个交易日</t>
        </is>
      </c>
    </row>
    <row r="24">
      <c r="A24" s="3" t="n">
        <v>46287</v>
      </c>
      <c r="B24" s="4" t="n">
        <v>7.340000152587891</v>
      </c>
      <c r="C24" s="4" t="n">
        <v>-6.970845667994785</v>
      </c>
      <c r="D24" s="6">
        <f>B24/$B$8-1</f>
        <v/>
      </c>
      <c r="E24" t="inlineStr">
        <is>
          <t>第17/30个交易日</t>
        </is>
      </c>
    </row>
    <row r="25">
      <c r="A25" s="3" t="n">
        <v>46288</v>
      </c>
      <c r="B25" s="4" t="n">
        <v>7.579999923706055</v>
      </c>
      <c r="C25" s="4" t="n">
        <v>3.26975158213787</v>
      </c>
      <c r="D25" s="6">
        <f>B25/$B$8-1</f>
        <v/>
      </c>
      <c r="E25" t="inlineStr">
        <is>
          <t>第18/30个交易日</t>
        </is>
      </c>
    </row>
    <row r="26">
      <c r="A26" s="3" t="n">
        <v>46289</v>
      </c>
      <c r="B26" s="4" t="n">
        <v>7.309999942779541</v>
      </c>
      <c r="C26" s="4" t="n">
        <v>-3.562005061267914</v>
      </c>
      <c r="D26" s="6">
        <f>B26/$B$8-1</f>
        <v/>
      </c>
      <c r="E26" t="inlineStr">
        <is>
          <t>第19/30个交易日</t>
        </is>
      </c>
    </row>
    <row r="27">
      <c r="A27" s="3" t="n">
        <v>46290</v>
      </c>
      <c r="B27" s="4" t="n">
        <v>7.400000095367432</v>
      </c>
      <c r="C27" s="4" t="n">
        <v>1.231192247501833</v>
      </c>
      <c r="D27" s="6">
        <f>B27/$B$8-1</f>
        <v/>
      </c>
      <c r="E27" t="inlineStr">
        <is>
          <t>第20/30个交易日</t>
        </is>
      </c>
    </row>
    <row r="28">
      <c r="A28" s="3" t="n">
        <v>46293</v>
      </c>
      <c r="B28" s="4" t="n">
        <v>7.090000152587891</v>
      </c>
      <c r="C28" s="4" t="n">
        <v>-4.189188361951612</v>
      </c>
      <c r="D28" s="6">
        <f>B28/$B$8-1</f>
        <v/>
      </c>
      <c r="E28" t="inlineStr">
        <is>
          <t>第21/30个交易日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2026-09-29T02:36:48Z</dcterms:created>
  <dcterms:modified xmlns:dcterms="http://purl.org/dc/terms/" xmlns:xsi="http://www.w3.org/2001/XMLSchema-instance" xsi:type="dcterms:W3CDTF">2026-09-29T02:36:48Z</dcterms:modified>
</cp:coreProperties>
</file>