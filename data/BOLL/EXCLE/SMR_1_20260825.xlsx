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SMR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'30日跟踪'!$A$8:$A$34</f>
            </numRef>
          </cat>
          <val>
            <numRef>
              <f>'30日跟踪'!$D$8:$D$34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SMR 触发后30个交易日股价跟踪</t>
        </is>
      </c>
    </row>
    <row r="2">
      <c r="A2" s="2" t="inlineStr">
        <is>
          <t>股票代码</t>
        </is>
      </c>
      <c r="B2" t="inlineStr">
        <is>
          <t>SMR</t>
        </is>
      </c>
    </row>
    <row r="3">
      <c r="A3" s="2" t="inlineStr">
        <is>
          <t>首次触发日</t>
        </is>
      </c>
      <c r="B3" s="3" t="n">
        <v>46259</v>
      </c>
    </row>
    <row r="4">
      <c r="A4" s="2" t="inlineStr">
        <is>
          <t>触发日收盘价</t>
        </is>
      </c>
      <c r="B4" s="4" t="n">
        <v>9.810000419616699</v>
      </c>
    </row>
    <row r="5">
      <c r="A5" s="2" t="inlineStr">
        <is>
          <t>更新到交易日</t>
        </is>
      </c>
      <c r="B5" s="3" t="n">
        <v>46296</v>
      </c>
    </row>
    <row r="6">
      <c r="A6" s="2" t="inlineStr">
        <is>
          <t>已记录交易日</t>
        </is>
      </c>
      <c r="B6" t="inlineStr">
        <is>
          <t>27/30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9.810000419616699</v>
      </c>
      <c r="C8" s="4" t="n">
        <v>8.397792407340532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9.270000457763672</v>
      </c>
      <c r="C9" s="4" t="n">
        <v>-5.50458653164998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9.739999771118164</v>
      </c>
      <c r="C10" s="4" t="n">
        <v>5.070111004804367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9.289999961853027</v>
      </c>
      <c r="C11" s="4" t="n">
        <v>-4.620121353590911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9.270000457763672</v>
      </c>
      <c r="C12" s="4" t="n">
        <v>-0.2152799157317364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9.210000038146973</v>
      </c>
      <c r="C13" s="4" t="n">
        <v>-0.6472536855858357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9.560000419616699</v>
      </c>
      <c r="C14" s="4" t="n">
        <v>3.800221281433847</v>
      </c>
      <c r="D14" s="6">
        <f>B14/$B$8-1</f>
        <v/>
      </c>
      <c r="E14" t="inlineStr">
        <is>
          <t>第7/30个交易日</t>
        </is>
      </c>
    </row>
    <row r="15">
      <c r="A15" s="3" t="n">
        <v>46268</v>
      </c>
      <c r="B15" s="4" t="n">
        <v>9.75</v>
      </c>
      <c r="C15" s="4" t="n">
        <v>1.98744322221398</v>
      </c>
      <c r="D15" s="6">
        <f>B15/$B$8-1</f>
        <v/>
      </c>
      <c r="E15" t="inlineStr">
        <is>
          <t>第8/30个交易日</t>
        </is>
      </c>
    </row>
    <row r="16">
      <c r="A16" s="3" t="n">
        <v>46269</v>
      </c>
      <c r="B16" s="4" t="n">
        <v>9.699999809265137</v>
      </c>
      <c r="C16" s="4" t="n">
        <v>-0.5128224690755245</v>
      </c>
      <c r="D16" s="6">
        <f>B16/$B$8-1</f>
        <v/>
      </c>
      <c r="E16" t="inlineStr">
        <is>
          <t>第9/30个交易日</t>
        </is>
      </c>
    </row>
    <row r="17">
      <c r="A17" s="3" t="n">
        <v>46273</v>
      </c>
      <c r="B17" s="4" t="n">
        <v>11.18000030517578</v>
      </c>
      <c r="C17" s="4" t="n">
        <v>15.25773737126257</v>
      </c>
      <c r="D17" s="6">
        <f>B17/$B$8-1</f>
        <v/>
      </c>
      <c r="E17" t="inlineStr">
        <is>
          <t>第10/30个交易日</t>
        </is>
      </c>
    </row>
    <row r="18">
      <c r="A18" s="3" t="n">
        <v>46274</v>
      </c>
      <c r="B18" s="4" t="n">
        <v>10.8100004196167</v>
      </c>
      <c r="C18" s="4" t="n">
        <v>-3.309480102498663</v>
      </c>
      <c r="D18" s="6">
        <f>B18/$B$8-1</f>
        <v/>
      </c>
      <c r="E18" t="inlineStr">
        <is>
          <t>第11/30个交易日</t>
        </is>
      </c>
    </row>
    <row r="19">
      <c r="A19" s="3" t="n">
        <v>46275</v>
      </c>
      <c r="B19" s="4" t="n">
        <v>10.21000003814697</v>
      </c>
      <c r="C19" s="4" t="n">
        <v>-5.550419594627554</v>
      </c>
      <c r="D19" s="6">
        <f>B19/$B$8-1</f>
        <v/>
      </c>
      <c r="E19" t="inlineStr">
        <is>
          <t>第12/30个交易日</t>
        </is>
      </c>
    </row>
    <row r="20">
      <c r="A20" s="3" t="n">
        <v>46276</v>
      </c>
      <c r="B20" s="4" t="n">
        <v>8.609999656677246</v>
      </c>
      <c r="C20" s="4" t="n">
        <v>-15.67091454938048</v>
      </c>
      <c r="D20" s="6">
        <f>B20/$B$8-1</f>
        <v/>
      </c>
      <c r="E20" t="inlineStr">
        <is>
          <t>第13/30个交易日</t>
        </is>
      </c>
    </row>
    <row r="21">
      <c r="A21" s="3" t="n">
        <v>46279</v>
      </c>
      <c r="B21" s="4" t="n">
        <v>8.510000228881836</v>
      </c>
      <c r="C21" s="4" t="n">
        <v>-1.161433586328409</v>
      </c>
      <c r="D21" s="6">
        <f>B21/$B$8-1</f>
        <v/>
      </c>
      <c r="E21" t="inlineStr">
        <is>
          <t>第14/30个交易日</t>
        </is>
      </c>
    </row>
    <row r="22">
      <c r="A22" s="3" t="n">
        <v>46280</v>
      </c>
      <c r="B22" s="4" t="n">
        <v>8.430000305175781</v>
      </c>
      <c r="C22" s="4" t="n">
        <v>-0.9400695834830386</v>
      </c>
      <c r="D22" s="6">
        <f>B22/$B$8-1</f>
        <v/>
      </c>
      <c r="E22" t="inlineStr">
        <is>
          <t>第15/30个交易日</t>
        </is>
      </c>
    </row>
    <row r="23">
      <c r="A23" s="3" t="n">
        <v>46281</v>
      </c>
      <c r="B23" s="4" t="n">
        <v>8.300000190734863</v>
      </c>
      <c r="C23" s="4" t="n">
        <v>-1.542112808241558</v>
      </c>
      <c r="D23" s="6">
        <f>B23/$B$8-1</f>
        <v/>
      </c>
      <c r="E23" t="inlineStr">
        <is>
          <t>第16/30个交易日</t>
        </is>
      </c>
    </row>
    <row r="24">
      <c r="A24" s="3" t="n">
        <v>46282</v>
      </c>
      <c r="B24" s="4" t="n">
        <v>9.039999961853027</v>
      </c>
      <c r="C24" s="4" t="n">
        <v>8.915659688107148</v>
      </c>
      <c r="D24" s="6">
        <f>B24/$B$8-1</f>
        <v/>
      </c>
      <c r="E24" t="inlineStr">
        <is>
          <t>第17/30个交易日</t>
        </is>
      </c>
    </row>
    <row r="25">
      <c r="A25" s="3" t="n">
        <v>46283</v>
      </c>
      <c r="B25" s="4" t="n">
        <v>8.270000457763672</v>
      </c>
      <c r="C25" s="4" t="n">
        <v>-8.51769366524997</v>
      </c>
      <c r="D25" s="6">
        <f>B25/$B$8-1</f>
        <v/>
      </c>
      <c r="E25" t="inlineStr">
        <is>
          <t>第18/30个交易日</t>
        </is>
      </c>
    </row>
    <row r="26">
      <c r="A26" s="3" t="n">
        <v>46286</v>
      </c>
      <c r="B26" s="4" t="n">
        <v>8.789999961853027</v>
      </c>
      <c r="C26" s="4" t="n">
        <v>6.287780838043266</v>
      </c>
      <c r="D26" s="6">
        <f>B26/$B$8-1</f>
        <v/>
      </c>
      <c r="E26" t="inlineStr">
        <is>
          <t>第19/30个交易日</t>
        </is>
      </c>
    </row>
    <row r="27">
      <c r="A27" s="3" t="n">
        <v>46287</v>
      </c>
      <c r="B27" s="4" t="n">
        <v>8.890000343322754</v>
      </c>
      <c r="C27" s="4" t="n">
        <v>1.137660772510918</v>
      </c>
      <c r="D27" s="6">
        <f>B27/$B$8-1</f>
        <v/>
      </c>
      <c r="E27" t="inlineStr">
        <is>
          <t>第20/30个交易日</t>
        </is>
      </c>
    </row>
    <row r="28">
      <c r="A28" s="3" t="n">
        <v>46288</v>
      </c>
      <c r="B28" s="4" t="n">
        <v>8.680000305175781</v>
      </c>
      <c r="C28" s="4" t="n">
        <v>-2.362205062283296</v>
      </c>
      <c r="D28" s="6">
        <f>B28/$B$8-1</f>
        <v/>
      </c>
      <c r="E28" t="inlineStr">
        <is>
          <t>第21/30个交易日</t>
        </is>
      </c>
    </row>
    <row r="29">
      <c r="A29" s="3" t="n">
        <v>46289</v>
      </c>
      <c r="B29" s="4" t="n">
        <v>8.470000267028809</v>
      </c>
      <c r="C29" s="4" t="n">
        <v>-2.419355193130024</v>
      </c>
      <c r="D29" s="6">
        <f>B29/$B$8-1</f>
        <v/>
      </c>
      <c r="E29" t="inlineStr">
        <is>
          <t>第22/30个交易日</t>
        </is>
      </c>
    </row>
    <row r="30">
      <c r="A30" s="3" t="n">
        <v>46290</v>
      </c>
      <c r="B30" s="4" t="n">
        <v>8.420000076293945</v>
      </c>
      <c r="C30" s="4" t="n">
        <v>-0.5903210054136521</v>
      </c>
      <c r="D30" s="6">
        <f>B30/$B$8-1</f>
        <v/>
      </c>
      <c r="E30" t="inlineStr">
        <is>
          <t>第23/30个交易日</t>
        </is>
      </c>
    </row>
    <row r="31">
      <c r="A31" s="3" t="n">
        <v>46293</v>
      </c>
      <c r="B31" s="4" t="n">
        <v>7.909999847412109</v>
      </c>
      <c r="C31" s="4" t="n">
        <v>-6.057009789319522</v>
      </c>
      <c r="D31" s="6">
        <f>B31/$B$8-1</f>
        <v/>
      </c>
      <c r="E31" t="inlineStr">
        <is>
          <t>第24/30个交易日</t>
        </is>
      </c>
    </row>
    <row r="32">
      <c r="A32" s="3" t="n">
        <v>46294</v>
      </c>
      <c r="B32" s="4" t="n">
        <v>7.760000228881836</v>
      </c>
      <c r="C32" s="4" t="n">
        <v>-1.896328968695848</v>
      </c>
      <c r="D32" s="6">
        <f>B32/$B$8-1</f>
        <v/>
      </c>
      <c r="E32" t="inlineStr">
        <is>
          <t>第25/30个交易日</t>
        </is>
      </c>
    </row>
    <row r="33">
      <c r="A33" s="3" t="n">
        <v>46295</v>
      </c>
      <c r="B33" s="4" t="n">
        <v>7.900000095367432</v>
      </c>
      <c r="C33" s="4" t="n">
        <v>1.804121937581038</v>
      </c>
      <c r="D33" s="6">
        <f>B33/$B$8-1</f>
        <v/>
      </c>
      <c r="E33" t="inlineStr">
        <is>
          <t>第26/30个交易日</t>
        </is>
      </c>
    </row>
    <row r="34">
      <c r="A34" s="3" t="n">
        <v>46296</v>
      </c>
      <c r="B34" s="4" t="n">
        <v>7.789999961853027</v>
      </c>
      <c r="C34" s="4" t="n">
        <v>-1.392406736537999</v>
      </c>
      <c r="D34" s="6">
        <f>B34/$B$8-1</f>
        <v/>
      </c>
      <c r="E34" t="inlineStr">
        <is>
          <t>第27/30个交易日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2026-10-02T02:19:43Z</dcterms:created>
  <dcterms:modified xmlns:dcterms="http://purl.org/dc/terms/" xmlns:xsi="http://www.w3.org/2001/XMLSchema-instance" xsi:type="dcterms:W3CDTF">2026-10-02T02:19:43Z</dcterms:modified>
</cp:coreProperties>
</file>